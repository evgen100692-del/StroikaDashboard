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pRe\OneDrive\Desktop\"/>
    </mc:Choice>
  </mc:AlternateContent>
  <bookViews>
    <workbookView xWindow="0" yWindow="0" windowWidth="28770" windowHeight="12975" tabRatio="606" activeTab="2"/>
  </bookViews>
  <sheets>
    <sheet name="СВОД СМР" sheetId="1" r:id="rId1"/>
    <sheet name="контракты СМР" sheetId="2" r:id="rId2"/>
    <sheet name="СМР" sheetId="5" r:id="rId3"/>
  </sheets>
  <definedNames>
    <definedName name="_xlnm._FilterDatabase" localSheetId="1" hidden="1">'контракты СМР'!$A$4:$AM$136</definedName>
    <definedName name="_xlnm._FilterDatabase" localSheetId="0" hidden="1">'СВОД СМР'!$D$3:$W$29</definedName>
    <definedName name="_xlnm._FilterDatabase" localSheetId="2" hidden="1">СМР!$B$5:$AU$155</definedName>
    <definedName name="DF_GRID_1">#REF!</definedName>
    <definedName name="DF_GRID_2">#REF!</definedName>
    <definedName name="DF_GRID_3">#REF!</definedName>
    <definedName name="DF_GRID_4">#REF!</definedName>
    <definedName name="DF_GRID_5">#REF!</definedName>
    <definedName name="JR_PAGE_ANCHOR_0_1">#REF!</definedName>
    <definedName name="Z_0406206E_64B0_4BE7_B1B3_1E8F4E3B398B_.wvu.Cols" localSheetId="0" hidden="1">'СВОД СМР'!$B:$B,'СВОД СМР'!$G:$I</definedName>
    <definedName name="Z_0406206E_64B0_4BE7_B1B3_1E8F4E3B398B_.wvu.FilterData" localSheetId="0" hidden="1">'СВОД СМР'!$D$3:$W$29</definedName>
    <definedName name="Z_31198A97_3BA0_4999_82A2_8971EA039CF7_.wvu.Cols" localSheetId="0" hidden="1">'СВОД СМР'!$B:$B,'СВОД СМР'!$G:$I</definedName>
    <definedName name="Z_31198A97_3BA0_4999_82A2_8971EA039CF7_.wvu.FilterData" localSheetId="1" hidden="1">'контракты СМР'!$A$4:$AM$130</definedName>
    <definedName name="Z_31198A97_3BA0_4999_82A2_8971EA039CF7_.wvu.FilterData" localSheetId="0" hidden="1">'СВОД СМР'!$D$3:$W$29</definedName>
    <definedName name="Z_4666ADC7_C9FA_4642_A898_62EF90248348_.wvu.FilterData" localSheetId="1" hidden="1">'контракты СМР'!$A$4:$AM$130</definedName>
    <definedName name="Z_567F1B1F_F2F9_4758_95B2_AC659F78E4F5_.wvu.FilterData" localSheetId="1" hidden="1">'контракты СМР'!$A$4:$AM$130</definedName>
    <definedName name="Z_5A06B076_A1EB_441D_BF99_7B4C75213F47_.wvu.FilterData" localSheetId="1" hidden="1">'контракты СМР'!$A$4:$AM$130</definedName>
    <definedName name="Z_6281A774_6AE3_4E98_B0F7_810B299D3A2D_.wvu.Cols" localSheetId="1" hidden="1">'контракты СМР'!$C:$C,'контракты СМР'!$E:$E,'контракты СМР'!$S:$S,'контракты СМР'!$AA:$AA</definedName>
    <definedName name="Z_6281A774_6AE3_4E98_B0F7_810B299D3A2D_.wvu.Cols" localSheetId="0" hidden="1">'СВОД СМР'!$B:$B,'СВОД СМР'!$G:$I</definedName>
    <definedName name="Z_6281A774_6AE3_4E98_B0F7_810B299D3A2D_.wvu.FilterData" localSheetId="1" hidden="1">'контракты СМР'!$A$4:$AM$130</definedName>
    <definedName name="Z_6281A774_6AE3_4E98_B0F7_810B299D3A2D_.wvu.FilterData" localSheetId="0" hidden="1">'СВОД СМР'!$D$3:$W$29</definedName>
    <definedName name="Z_6281A774_6AE3_4E98_B0F7_810B299D3A2D_.wvu.PrintArea" localSheetId="1" hidden="1">'контракты СМР'!$A$1:$AM$140</definedName>
    <definedName name="Z_6281A774_6AE3_4E98_B0F7_810B299D3A2D_.wvu.PrintTitles" localSheetId="1" hidden="1">'контракты СМР'!$1:$1</definedName>
    <definedName name="Z_6281A774_6AE3_4E98_B0F7_810B299D3A2D_.wvu.Rows" localSheetId="1" hidden="1">'контракты СМР'!$4:$39,'контракты СМР'!$59:$130</definedName>
    <definedName name="а">#REF!</definedName>
    <definedName name="Бюджет">#REF!</definedName>
    <definedName name="в">#REF!</definedName>
    <definedName name="ГАБСэкономия">#REF!</definedName>
    <definedName name="дф">#REF!</definedName>
    <definedName name="желтая">#REF!</definedName>
    <definedName name="_xlnm.Print_Titles" localSheetId="1">'контракты СМР'!$1:$1</definedName>
    <definedName name="_xlnm.Print_Titles" localSheetId="2">СМР!$1:$5</definedName>
    <definedName name="инд2019">#REF!</definedName>
    <definedName name="индекс2017">#REF!</definedName>
    <definedName name="индекс2018">#REF!</definedName>
    <definedName name="индекс2020">#REF!</definedName>
    <definedName name="индекс2021">#REF!</definedName>
    <definedName name="мосты">#REF!</definedName>
    <definedName name="мосты2">#REF!</definedName>
    <definedName name="МУН">#REF!</definedName>
    <definedName name="ноль">#REF!</definedName>
    <definedName name="_xlnm.Print_Area" localSheetId="1">'контракты СМР'!$A$1:$AM$140</definedName>
    <definedName name="_xlnm.Print_Area" localSheetId="2">СМР!$A$1:$AV$111</definedName>
    <definedName name="объекты">#REF!</definedName>
    <definedName name="объекты12.07.19">#REF!</definedName>
    <definedName name="объекты2019">#REF!</definedName>
    <definedName name="ооо">#REF!</definedName>
    <definedName name="про">#REF!</definedName>
    <definedName name="ррр">#REF!</definedName>
    <definedName name="трнкрн">#REF!</definedName>
    <definedName name="фы">#REF!</definedName>
  </definedNames>
  <calcPr calcId="162913"/>
  <customWorkbookViews>
    <customWorkbookView name="Сушилина Ирина  - Личное представление" guid="{0406206E-64B0-4BE7-B1B3-1E8F4E3B398B}" mergeInterval="0" personalView="1" maximized="1" xWindow="-8" yWindow="-8" windowWidth="1936" windowHeight="1056" activeSheetId="2"/>
    <customWorkbookView name="Салтыкова Луиза Рустамовна - Личное представление" guid="{6281A774-6AE3-4E98-B0F7-810B299D3A2D}" mergeInterval="0" personalView="1" maximized="1" xWindow="1912" yWindow="-8" windowWidth="1936" windowHeight="1056" activeSheetId="2"/>
    <customWorkbookView name="Бобров Артем Юрьевич - Личное представление" guid="{31198A97-3BA0-4999-82A2-8971EA039CF7}" mergeInterval="0" personalView="1" maximized="1" xWindow="-1928" yWindow="-1" windowWidth="1936" windowHeight="1056" activeSheetId="2"/>
  </customWorkbookViews>
</workbook>
</file>

<file path=xl/calcChain.xml><?xml version="1.0" encoding="utf-8"?>
<calcChain xmlns="http://schemas.openxmlformats.org/spreadsheetml/2006/main">
  <c r="AR6" i="5" l="1"/>
  <c r="AR2" i="5" s="1"/>
  <c r="AS6" i="5"/>
  <c r="AS2" i="5" s="1"/>
  <c r="AT6" i="5"/>
  <c r="AT2" i="5" s="1"/>
  <c r="AN8" i="5"/>
  <c r="AO8" i="5"/>
  <c r="AP8" i="5"/>
  <c r="AQ8" i="5"/>
  <c r="AR8" i="5"/>
  <c r="S9" i="5"/>
  <c r="V9" i="5"/>
  <c r="W9" i="5"/>
  <c r="X9" i="5"/>
  <c r="Y9" i="5"/>
  <c r="Z9" i="5"/>
  <c r="AA9" i="5"/>
  <c r="AD9" i="5"/>
  <c r="AE9" i="5"/>
  <c r="AF9" i="5" s="1"/>
  <c r="AG9" i="5"/>
  <c r="AH9" i="5"/>
  <c r="AN9" i="5"/>
  <c r="AO9" i="5"/>
  <c r="AP9" i="5"/>
  <c r="AQ9" i="5"/>
  <c r="AR9" i="5"/>
  <c r="AS9" i="5"/>
  <c r="AT9" i="5"/>
  <c r="AU9" i="5"/>
  <c r="M10" i="5"/>
  <c r="T10" i="5"/>
  <c r="U10" i="5"/>
  <c r="W10" i="5"/>
  <c r="Y10" i="5"/>
  <c r="AA10" i="5"/>
  <c r="AF10" i="5"/>
  <c r="AV10" i="5"/>
  <c r="M11" i="5"/>
  <c r="U11" i="5"/>
  <c r="AH11" i="5" s="1"/>
  <c r="W11" i="5"/>
  <c r="AA11" i="5"/>
  <c r="AB11" i="5"/>
  <c r="AC11" i="5"/>
  <c r="AF11" i="5"/>
  <c r="AV11" i="5"/>
  <c r="M12" i="5"/>
  <c r="U12" i="5"/>
  <c r="W12" i="5"/>
  <c r="Y12" i="5"/>
  <c r="AA12" i="5"/>
  <c r="AB12" i="5"/>
  <c r="AC12" i="5"/>
  <c r="AF12" i="5"/>
  <c r="AH12" i="5"/>
  <c r="AI12" i="5"/>
  <c r="AV12" i="5"/>
  <c r="AV9" i="5" s="1"/>
  <c r="M13" i="5"/>
  <c r="U13" i="5"/>
  <c r="W13" i="5"/>
  <c r="Y13" i="5"/>
  <c r="AA13" i="5"/>
  <c r="AB13" i="5"/>
  <c r="AC13" i="5" s="1"/>
  <c r="AF13" i="5"/>
  <c r="AV13" i="5"/>
  <c r="S15" i="5"/>
  <c r="S8" i="5" s="1"/>
  <c r="T15" i="5"/>
  <c r="U15" i="5"/>
  <c r="V15" i="5"/>
  <c r="V6" i="5" s="1"/>
  <c r="W15" i="5"/>
  <c r="X15" i="5"/>
  <c r="X6" i="5" s="1"/>
  <c r="Y15" i="5"/>
  <c r="Z15" i="5"/>
  <c r="AE15" i="5"/>
  <c r="AN15" i="5"/>
  <c r="AO15" i="5"/>
  <c r="AP15" i="5"/>
  <c r="AQ15" i="5"/>
  <c r="AR15" i="5"/>
  <c r="AS15" i="5"/>
  <c r="AT15" i="5"/>
  <c r="AU15" i="5"/>
  <c r="M16" i="5"/>
  <c r="T16" i="5"/>
  <c r="U16" i="5" s="1"/>
  <c r="AI16" i="5" s="1"/>
  <c r="V16" i="5"/>
  <c r="W16" i="5"/>
  <c r="Y16" i="5"/>
  <c r="AA16" i="5"/>
  <c r="AA15" i="5" s="1"/>
  <c r="AB16" i="5"/>
  <c r="AB15" i="5" s="1"/>
  <c r="AC15" i="5" s="1"/>
  <c r="AC16" i="5"/>
  <c r="AD16" i="5"/>
  <c r="AF16" i="5"/>
  <c r="AH16" i="5"/>
  <c r="AV16" i="5"/>
  <c r="M17" i="5"/>
  <c r="U17" i="5"/>
  <c r="W17" i="5"/>
  <c r="Y17" i="5"/>
  <c r="AA17" i="5"/>
  <c r="AB17" i="5"/>
  <c r="AC17" i="5"/>
  <c r="AD17" i="5"/>
  <c r="AF17" i="5"/>
  <c r="AH17" i="5"/>
  <c r="AI17" i="5"/>
  <c r="AV17" i="5"/>
  <c r="M18" i="5"/>
  <c r="U18" i="5"/>
  <c r="AI18" i="5" s="1"/>
  <c r="W18" i="5"/>
  <c r="Y18" i="5"/>
  <c r="AA18" i="5"/>
  <c r="AB18" i="5"/>
  <c r="AC18" i="5"/>
  <c r="AF18" i="5"/>
  <c r="AH18" i="5"/>
  <c r="AV18" i="5"/>
  <c r="M19" i="5"/>
  <c r="U19" i="5"/>
  <c r="AI19" i="5" s="1"/>
  <c r="W19" i="5"/>
  <c r="Y19" i="5"/>
  <c r="AA19" i="5"/>
  <c r="AB19" i="5"/>
  <c r="AC19" i="5"/>
  <c r="AD19" i="5"/>
  <c r="AV19" i="5" s="1"/>
  <c r="AF19" i="5"/>
  <c r="AH19" i="5"/>
  <c r="M20" i="5"/>
  <c r="U20" i="5"/>
  <c r="W20" i="5"/>
  <c r="Y20" i="5"/>
  <c r="AA20" i="5"/>
  <c r="AB20" i="5"/>
  <c r="AC20" i="5"/>
  <c r="AD20" i="5"/>
  <c r="AF20" i="5"/>
  <c r="AG20" i="5"/>
  <c r="AG15" i="5" s="1"/>
  <c r="AH15" i="5" s="1"/>
  <c r="AI20" i="5"/>
  <c r="AV20" i="5"/>
  <c r="U21" i="5"/>
  <c r="W21" i="5"/>
  <c r="Y21" i="5"/>
  <c r="AA21" i="5"/>
  <c r="AB21" i="5"/>
  <c r="AC21" i="5"/>
  <c r="AF21" i="5"/>
  <c r="AH21" i="5"/>
  <c r="AI21" i="5"/>
  <c r="AV21" i="5"/>
  <c r="M22" i="5"/>
  <c r="U22" i="5"/>
  <c r="AI22" i="5" s="1"/>
  <c r="W22" i="5"/>
  <c r="Y22" i="5"/>
  <c r="AA22" i="5"/>
  <c r="AB22" i="5"/>
  <c r="AC22" i="5" s="1"/>
  <c r="AF22" i="5"/>
  <c r="AH22" i="5"/>
  <c r="AV22" i="5"/>
  <c r="M23" i="5"/>
  <c r="U23" i="5"/>
  <c r="W23" i="5"/>
  <c r="Y23" i="5"/>
  <c r="AA23" i="5"/>
  <c r="AB23" i="5"/>
  <c r="AC23" i="5"/>
  <c r="AF23" i="5"/>
  <c r="AH23" i="5"/>
  <c r="AI23" i="5"/>
  <c r="AV23" i="5"/>
  <c r="M24" i="5"/>
  <c r="U24" i="5"/>
  <c r="W24" i="5"/>
  <c r="Y24" i="5"/>
  <c r="AA24" i="5"/>
  <c r="AB24" i="5"/>
  <c r="AC24" i="5"/>
  <c r="AF24" i="5"/>
  <c r="AH24" i="5"/>
  <c r="AI24" i="5"/>
  <c r="AV24" i="5"/>
  <c r="AV25" i="5"/>
  <c r="M26" i="5"/>
  <c r="U26" i="5"/>
  <c r="AI26" i="5" s="1"/>
  <c r="W26" i="5"/>
  <c r="Y26" i="5"/>
  <c r="AA26" i="5"/>
  <c r="AB26" i="5"/>
  <c r="AC26" i="5"/>
  <c r="AD26" i="5"/>
  <c r="AV26" i="5" s="1"/>
  <c r="AF26" i="5"/>
  <c r="AH26" i="5"/>
  <c r="M27" i="5"/>
  <c r="T27" i="5"/>
  <c r="U27" i="5"/>
  <c r="AI27" i="5" s="1"/>
  <c r="V27" i="5"/>
  <c r="W27" i="5"/>
  <c r="Y27" i="5"/>
  <c r="AA27" i="5"/>
  <c r="AB27" i="5"/>
  <c r="AC27" i="5" s="1"/>
  <c r="AF27" i="5"/>
  <c r="AH27" i="5"/>
  <c r="AV27" i="5"/>
  <c r="M28" i="5"/>
  <c r="U28" i="5"/>
  <c r="W28" i="5"/>
  <c r="Y28" i="5"/>
  <c r="AA28" i="5"/>
  <c r="AB28" i="5"/>
  <c r="AC28" i="5"/>
  <c r="AF28" i="5"/>
  <c r="AH28" i="5"/>
  <c r="AI28" i="5"/>
  <c r="AV28" i="5"/>
  <c r="U29" i="5"/>
  <c r="W29" i="5"/>
  <c r="Y29" i="5"/>
  <c r="AA29" i="5"/>
  <c r="AB29" i="5"/>
  <c r="AC29" i="5"/>
  <c r="AF29" i="5"/>
  <c r="AH29" i="5"/>
  <c r="AI29" i="5"/>
  <c r="U30" i="5"/>
  <c r="AI30" i="5" s="1"/>
  <c r="W30" i="5"/>
  <c r="Y30" i="5"/>
  <c r="AA30" i="5"/>
  <c r="AB30" i="5"/>
  <c r="AC30" i="5"/>
  <c r="AF30" i="5"/>
  <c r="AH30" i="5"/>
  <c r="AV30" i="5"/>
  <c r="M31" i="5"/>
  <c r="U31" i="5"/>
  <c r="W31" i="5"/>
  <c r="Y31" i="5"/>
  <c r="AA31" i="5"/>
  <c r="AB31" i="5"/>
  <c r="AC31" i="5"/>
  <c r="AD31" i="5"/>
  <c r="AF31" i="5"/>
  <c r="AH31" i="5"/>
  <c r="AI31" i="5"/>
  <c r="AV31" i="5"/>
  <c r="U32" i="5"/>
  <c r="AI32" i="5" s="1"/>
  <c r="W32" i="5"/>
  <c r="Y32" i="5"/>
  <c r="AA32" i="5"/>
  <c r="AB32" i="5"/>
  <c r="AC32" i="5" s="1"/>
  <c r="AD32" i="5"/>
  <c r="AF32" i="5"/>
  <c r="AH32" i="5"/>
  <c r="AV32" i="5"/>
  <c r="AV33" i="5"/>
  <c r="S36" i="5"/>
  <c r="T36" i="5"/>
  <c r="U36" i="5"/>
  <c r="V36" i="5"/>
  <c r="W36" i="5" s="1"/>
  <c r="X36" i="5"/>
  <c r="X35" i="5" s="1"/>
  <c r="Z36" i="5"/>
  <c r="AD36" i="5"/>
  <c r="AE36" i="5"/>
  <c r="AG36" i="5"/>
  <c r="AN36" i="5"/>
  <c r="AN35" i="5" s="1"/>
  <c r="AO36" i="5"/>
  <c r="AO35" i="5" s="1"/>
  <c r="AP36" i="5"/>
  <c r="AQ36" i="5"/>
  <c r="AQ35" i="5" s="1"/>
  <c r="AR36" i="5"/>
  <c r="AS36" i="5"/>
  <c r="AT36" i="5"/>
  <c r="AU36" i="5"/>
  <c r="M37" i="5"/>
  <c r="U37" i="5"/>
  <c r="W37" i="5"/>
  <c r="Y37" i="5"/>
  <c r="AA37" i="5"/>
  <c r="AA36" i="5" s="1"/>
  <c r="AB37" i="5"/>
  <c r="AB36" i="5" s="1"/>
  <c r="AC36" i="5" s="1"/>
  <c r="AC37" i="5"/>
  <c r="AF37" i="5"/>
  <c r="AH37" i="5"/>
  <c r="AI37" i="5"/>
  <c r="AV37" i="5"/>
  <c r="AV36" i="5" s="1"/>
  <c r="U38" i="5"/>
  <c r="AH38" i="5" s="1"/>
  <c r="W38" i="5"/>
  <c r="Y38" i="5"/>
  <c r="AA38" i="5"/>
  <c r="AB38" i="5"/>
  <c r="AC38" i="5"/>
  <c r="AI38" i="5"/>
  <c r="AV38" i="5"/>
  <c r="U39" i="5"/>
  <c r="AI39" i="5" s="1"/>
  <c r="W39" i="5"/>
  <c r="Y39" i="5"/>
  <c r="AA39" i="5"/>
  <c r="AB39" i="5"/>
  <c r="AC39" i="5"/>
  <c r="AF39" i="5"/>
  <c r="AH39" i="5"/>
  <c r="AV39" i="5"/>
  <c r="M40" i="5"/>
  <c r="AV40" i="5"/>
  <c r="S42" i="5"/>
  <c r="V42" i="5"/>
  <c r="W42" i="5"/>
  <c r="X42" i="5"/>
  <c r="Y42" i="5"/>
  <c r="Z42" i="5"/>
  <c r="AA42" i="5"/>
  <c r="AB42" i="5"/>
  <c r="AC42" i="5" s="1"/>
  <c r="AE42" i="5"/>
  <c r="AF42" i="5"/>
  <c r="AG42" i="5"/>
  <c r="AH42" i="5" s="1"/>
  <c r="AN42" i="5"/>
  <c r="AO42" i="5"/>
  <c r="AP42" i="5"/>
  <c r="AQ42" i="5"/>
  <c r="AR42" i="5"/>
  <c r="AR35" i="5" s="1"/>
  <c r="AS42" i="5"/>
  <c r="AS35" i="5" s="1"/>
  <c r="AT42" i="5"/>
  <c r="AT35" i="5" s="1"/>
  <c r="AU42" i="5"/>
  <c r="AU35" i="5" s="1"/>
  <c r="M43" i="5"/>
  <c r="U43" i="5"/>
  <c r="AI43" i="5" s="1"/>
  <c r="W43" i="5"/>
  <c r="Y43" i="5"/>
  <c r="AA43" i="5"/>
  <c r="AB43" i="5"/>
  <c r="AC43" i="5" s="1"/>
  <c r="AF43" i="5"/>
  <c r="AH43" i="5"/>
  <c r="AV43" i="5"/>
  <c r="M44" i="5"/>
  <c r="U44" i="5"/>
  <c r="AI44" i="5" s="1"/>
  <c r="W44" i="5"/>
  <c r="Y44" i="5"/>
  <c r="AA44" i="5"/>
  <c r="AB44" i="5"/>
  <c r="AC44" i="5"/>
  <c r="AF44" i="5"/>
  <c r="AH44" i="5"/>
  <c r="AV44" i="5"/>
  <c r="U45" i="5"/>
  <c r="W45" i="5"/>
  <c r="Y45" i="5"/>
  <c r="AA45" i="5"/>
  <c r="AB45" i="5"/>
  <c r="AC45" i="5"/>
  <c r="AF45" i="5"/>
  <c r="AH45" i="5"/>
  <c r="AI45" i="5"/>
  <c r="AV45" i="5"/>
  <c r="M46" i="5"/>
  <c r="AV46" i="5"/>
  <c r="U47" i="5"/>
  <c r="W47" i="5"/>
  <c r="Y47" i="5"/>
  <c r="AA47" i="5"/>
  <c r="AB47" i="5"/>
  <c r="AC47" i="5"/>
  <c r="AF47" i="5"/>
  <c r="AH47" i="5"/>
  <c r="AI47" i="5"/>
  <c r="AV47" i="5"/>
  <c r="M48" i="5"/>
  <c r="T48" i="5"/>
  <c r="AB48" i="5" s="1"/>
  <c r="AC48" i="5" s="1"/>
  <c r="U48" i="5"/>
  <c r="AI48" i="5" s="1"/>
  <c r="W48" i="5"/>
  <c r="Y48" i="5"/>
  <c r="AA48" i="5"/>
  <c r="AF48" i="5"/>
  <c r="AH48" i="5"/>
  <c r="AV48" i="5"/>
  <c r="M49" i="5"/>
  <c r="U49" i="5"/>
  <c r="W49" i="5"/>
  <c r="Y49" i="5"/>
  <c r="AA49" i="5"/>
  <c r="AB49" i="5"/>
  <c r="AC49" i="5"/>
  <c r="AF49" i="5"/>
  <c r="AH49" i="5"/>
  <c r="AI49" i="5"/>
  <c r="AV49" i="5"/>
  <c r="U50" i="5"/>
  <c r="W50" i="5"/>
  <c r="Y50" i="5"/>
  <c r="AA50" i="5"/>
  <c r="AB50" i="5"/>
  <c r="AC50" i="5"/>
  <c r="AF50" i="5"/>
  <c r="AH50" i="5"/>
  <c r="AI50" i="5"/>
  <c r="AV50" i="5"/>
  <c r="M51" i="5"/>
  <c r="U51" i="5"/>
  <c r="AI51" i="5" s="1"/>
  <c r="W51" i="5"/>
  <c r="Y51" i="5"/>
  <c r="AA51" i="5"/>
  <c r="AB51" i="5"/>
  <c r="AC51" i="5"/>
  <c r="AD51" i="5"/>
  <c r="AD42" i="5" s="1"/>
  <c r="AD35" i="5" s="1"/>
  <c r="AF51" i="5"/>
  <c r="AH51" i="5"/>
  <c r="U52" i="5"/>
  <c r="W52" i="5"/>
  <c r="Y52" i="5"/>
  <c r="AA52" i="5"/>
  <c r="AF52" i="5"/>
  <c r="AI52" i="5"/>
  <c r="AV52" i="5"/>
  <c r="AV53" i="5"/>
  <c r="U54" i="5"/>
  <c r="AI54" i="5" s="1"/>
  <c r="W54" i="5"/>
  <c r="Y54" i="5"/>
  <c r="AA54" i="5"/>
  <c r="AB54" i="5"/>
  <c r="AC54" i="5" s="1"/>
  <c r="AF54" i="5"/>
  <c r="AH54" i="5"/>
  <c r="AV54" i="5"/>
  <c r="U55" i="5"/>
  <c r="AI55" i="5" s="1"/>
  <c r="W55" i="5"/>
  <c r="Y55" i="5"/>
  <c r="AA55" i="5"/>
  <c r="AB55" i="5"/>
  <c r="AC55" i="5"/>
  <c r="AF55" i="5"/>
  <c r="AH55" i="5"/>
  <c r="AV55" i="5"/>
  <c r="U56" i="5"/>
  <c r="W56" i="5"/>
  <c r="Y56" i="5"/>
  <c r="AA56" i="5"/>
  <c r="AB56" i="5"/>
  <c r="AC56" i="5"/>
  <c r="AF56" i="5"/>
  <c r="AH56" i="5"/>
  <c r="AI56" i="5"/>
  <c r="AV56" i="5"/>
  <c r="S58" i="5"/>
  <c r="T58" i="5"/>
  <c r="U58" i="5"/>
  <c r="V58" i="5"/>
  <c r="X58" i="5"/>
  <c r="Z58" i="5"/>
  <c r="AD58" i="5"/>
  <c r="AE58" i="5"/>
  <c r="AG58" i="5"/>
  <c r="AH58" i="5"/>
  <c r="AN58" i="5"/>
  <c r="AO58" i="5"/>
  <c r="AP58" i="5"/>
  <c r="AQ58" i="5"/>
  <c r="AR58" i="5"/>
  <c r="AS58" i="5"/>
  <c r="AT58" i="5"/>
  <c r="AU58" i="5"/>
  <c r="M59" i="5"/>
  <c r="U59" i="5"/>
  <c r="W59" i="5"/>
  <c r="Y59" i="5"/>
  <c r="AA59" i="5"/>
  <c r="AB59" i="5"/>
  <c r="AC59" i="5"/>
  <c r="AF59" i="5"/>
  <c r="AH59" i="5"/>
  <c r="AI59" i="5"/>
  <c r="AV59" i="5"/>
  <c r="AV58" i="5" s="1"/>
  <c r="M60" i="5"/>
  <c r="U60" i="5"/>
  <c r="W60" i="5"/>
  <c r="Y60" i="5"/>
  <c r="AA60" i="5"/>
  <c r="AB60" i="5"/>
  <c r="AC60" i="5"/>
  <c r="AF60" i="5"/>
  <c r="AH60" i="5"/>
  <c r="AI60" i="5"/>
  <c r="AV60" i="5"/>
  <c r="M61" i="5"/>
  <c r="U61" i="5"/>
  <c r="AI61" i="5" s="1"/>
  <c r="W61" i="5"/>
  <c r="Y61" i="5"/>
  <c r="AA61" i="5"/>
  <c r="AB61" i="5"/>
  <c r="AC61" i="5"/>
  <c r="AF61" i="5"/>
  <c r="AH61" i="5"/>
  <c r="AV61" i="5"/>
  <c r="AV62" i="5"/>
  <c r="U63" i="5"/>
  <c r="AI63" i="5" s="1"/>
  <c r="W63" i="5"/>
  <c r="Y63" i="5"/>
  <c r="AA63" i="5"/>
  <c r="AB63" i="5"/>
  <c r="AC63" i="5"/>
  <c r="AF63" i="5"/>
  <c r="AH63" i="5"/>
  <c r="AV63" i="5"/>
  <c r="M64" i="5"/>
  <c r="U64" i="5"/>
  <c r="W64" i="5"/>
  <c r="Y64" i="5"/>
  <c r="AA64" i="5"/>
  <c r="AB64" i="5"/>
  <c r="AC64" i="5"/>
  <c r="AF64" i="5"/>
  <c r="AH64" i="5"/>
  <c r="AI64" i="5"/>
  <c r="AV64" i="5"/>
  <c r="M65" i="5"/>
  <c r="U65" i="5"/>
  <c r="AI65" i="5" s="1"/>
  <c r="W65" i="5"/>
  <c r="Y65" i="5"/>
  <c r="AA65" i="5"/>
  <c r="AB65" i="5"/>
  <c r="AC65" i="5"/>
  <c r="AF65" i="5"/>
  <c r="AH65" i="5"/>
  <c r="AV65" i="5"/>
  <c r="U66" i="5"/>
  <c r="W66" i="5"/>
  <c r="Y66" i="5"/>
  <c r="AI66" i="5"/>
  <c r="AV66" i="5"/>
  <c r="U67" i="5"/>
  <c r="AI67" i="5" s="1"/>
  <c r="W67" i="5"/>
  <c r="Y67" i="5"/>
  <c r="AB67" i="5"/>
  <c r="AC67" i="5"/>
  <c r="AD67" i="5"/>
  <c r="AV67" i="5" s="1"/>
  <c r="M68" i="5"/>
  <c r="U68" i="5"/>
  <c r="W68" i="5"/>
  <c r="Y68" i="5"/>
  <c r="AA68" i="5"/>
  <c r="AB68" i="5"/>
  <c r="AC68" i="5"/>
  <c r="AF68" i="5"/>
  <c r="AH68" i="5"/>
  <c r="AI68" i="5"/>
  <c r="AV68" i="5"/>
  <c r="U69" i="5"/>
  <c r="W69" i="5"/>
  <c r="Y69" i="5"/>
  <c r="AA69" i="5"/>
  <c r="AB69" i="5"/>
  <c r="AC69" i="5"/>
  <c r="AD69" i="5"/>
  <c r="AF69" i="5"/>
  <c r="AH69" i="5"/>
  <c r="AI69" i="5"/>
  <c r="AV69" i="5"/>
  <c r="U70" i="5"/>
  <c r="AH70" i="5" s="1"/>
  <c r="W70" i="5"/>
  <c r="Y70" i="5"/>
  <c r="AA70" i="5"/>
  <c r="AB70" i="5"/>
  <c r="AC70" i="5" s="1"/>
  <c r="AF70" i="5"/>
  <c r="AV70" i="5"/>
  <c r="AV71" i="5"/>
  <c r="U72" i="5"/>
  <c r="W72" i="5"/>
  <c r="Y72" i="5"/>
  <c r="AA72" i="5"/>
  <c r="AB72" i="5"/>
  <c r="AC72" i="5"/>
  <c r="AF72" i="5"/>
  <c r="AH72" i="5"/>
  <c r="AI72" i="5"/>
  <c r="AV72" i="5"/>
  <c r="U73" i="5"/>
  <c r="W73" i="5"/>
  <c r="Y73" i="5"/>
  <c r="AA73" i="5"/>
  <c r="AB73" i="5"/>
  <c r="AC73" i="5"/>
  <c r="AD73" i="5"/>
  <c r="AF73" i="5"/>
  <c r="AH73" i="5"/>
  <c r="AI73" i="5"/>
  <c r="AV73" i="5"/>
  <c r="U74" i="5"/>
  <c r="AI74" i="5" s="1"/>
  <c r="W74" i="5"/>
  <c r="Y74" i="5"/>
  <c r="AA74" i="5"/>
  <c r="AB74" i="5"/>
  <c r="AC74" i="5" s="1"/>
  <c r="AF74" i="5"/>
  <c r="AH74" i="5"/>
  <c r="AV74" i="5"/>
  <c r="S76" i="5"/>
  <c r="V76" i="5"/>
  <c r="W76" i="5"/>
  <c r="X76" i="5"/>
  <c r="Y76" i="5"/>
  <c r="Z76" i="5"/>
  <c r="AA76" i="5"/>
  <c r="AB76" i="5"/>
  <c r="AD76" i="5"/>
  <c r="AE76" i="5"/>
  <c r="AG76" i="5"/>
  <c r="AN76" i="5"/>
  <c r="AO76" i="5"/>
  <c r="AP76" i="5"/>
  <c r="AQ76" i="5"/>
  <c r="AR76" i="5"/>
  <c r="AS76" i="5"/>
  <c r="AT76" i="5"/>
  <c r="AU76" i="5"/>
  <c r="AV76" i="5"/>
  <c r="M77" i="5"/>
  <c r="U77" i="5"/>
  <c r="AI77" i="5" s="1"/>
  <c r="W77" i="5"/>
  <c r="Y77" i="5"/>
  <c r="AA77" i="5"/>
  <c r="AB77" i="5"/>
  <c r="AC77" i="5"/>
  <c r="AF77" i="5"/>
  <c r="AH77" i="5"/>
  <c r="AV77" i="5"/>
  <c r="M78" i="5"/>
  <c r="T78" i="5"/>
  <c r="T76" i="5" s="1"/>
  <c r="U76" i="5" s="1"/>
  <c r="U78" i="5"/>
  <c r="AI78" i="5" s="1"/>
  <c r="W78" i="5"/>
  <c r="Y78" i="5"/>
  <c r="AA78" i="5"/>
  <c r="AB78" i="5"/>
  <c r="AC78" i="5"/>
  <c r="AF78" i="5"/>
  <c r="AH78" i="5"/>
  <c r="AV78" i="5"/>
  <c r="U79" i="5"/>
  <c r="AI79" i="5" s="1"/>
  <c r="W79" i="5"/>
  <c r="Y79" i="5"/>
  <c r="AV79" i="5"/>
  <c r="U80" i="5"/>
  <c r="W80" i="5"/>
  <c r="Y80" i="5"/>
  <c r="AA80" i="5"/>
  <c r="AB80" i="5"/>
  <c r="AC80" i="5"/>
  <c r="AF80" i="5"/>
  <c r="AH80" i="5"/>
  <c r="AI80" i="5"/>
  <c r="AV80" i="5"/>
  <c r="AV81" i="5"/>
  <c r="AV82" i="5"/>
  <c r="AV83" i="5"/>
  <c r="AV84" i="5"/>
  <c r="AV85" i="5"/>
  <c r="S87" i="5"/>
  <c r="AH87" i="5" s="1"/>
  <c r="T87" i="5"/>
  <c r="U87" i="5"/>
  <c r="V87" i="5"/>
  <c r="W87" i="5"/>
  <c r="X87" i="5"/>
  <c r="Y87" i="5"/>
  <c r="Z87" i="5"/>
  <c r="AA87" i="5"/>
  <c r="AB87" i="5"/>
  <c r="AC87" i="5" s="1"/>
  <c r="AE87" i="5"/>
  <c r="AF87" i="5"/>
  <c r="AG87" i="5"/>
  <c r="AN87" i="5"/>
  <c r="AO87" i="5"/>
  <c r="AP87" i="5"/>
  <c r="AQ87" i="5"/>
  <c r="AR87" i="5"/>
  <c r="AS87" i="5"/>
  <c r="AT87" i="5"/>
  <c r="AU87" i="5"/>
  <c r="U88" i="5"/>
  <c r="W88" i="5"/>
  <c r="Y88" i="5"/>
  <c r="AA88" i="5"/>
  <c r="AB88" i="5"/>
  <c r="AC88" i="5" s="1"/>
  <c r="AF88" i="5"/>
  <c r="AH88" i="5"/>
  <c r="AV88" i="5"/>
  <c r="U89" i="5"/>
  <c r="W89" i="5"/>
  <c r="Y89" i="5"/>
  <c r="AA89" i="5"/>
  <c r="AB89" i="5"/>
  <c r="AC89" i="5"/>
  <c r="AF89" i="5"/>
  <c r="AH89" i="5"/>
  <c r="AV89" i="5"/>
  <c r="U90" i="5"/>
  <c r="W90" i="5"/>
  <c r="Y90" i="5"/>
  <c r="AA90" i="5"/>
  <c r="AB90" i="5"/>
  <c r="AC90" i="5"/>
  <c r="AF90" i="5"/>
  <c r="AH90" i="5"/>
  <c r="AV90" i="5"/>
  <c r="U91" i="5"/>
  <c r="W91" i="5"/>
  <c r="Y91" i="5"/>
  <c r="AA91" i="5"/>
  <c r="AB91" i="5"/>
  <c r="AC91" i="5"/>
  <c r="AF91" i="5"/>
  <c r="AH91" i="5"/>
  <c r="AV91" i="5"/>
  <c r="U92" i="5"/>
  <c r="W92" i="5"/>
  <c r="Y92" i="5"/>
  <c r="AA92" i="5"/>
  <c r="AB92" i="5"/>
  <c r="AC92" i="5"/>
  <c r="AF92" i="5"/>
  <c r="AH92" i="5"/>
  <c r="AV92" i="5"/>
  <c r="U93" i="5"/>
  <c r="W93" i="5"/>
  <c r="Y93" i="5"/>
  <c r="AA93" i="5"/>
  <c r="AB93" i="5"/>
  <c r="AC93" i="5"/>
  <c r="AD93" i="5"/>
  <c r="AD87" i="5" s="1"/>
  <c r="AF93" i="5"/>
  <c r="AH93" i="5"/>
  <c r="U94" i="5"/>
  <c r="W94" i="5"/>
  <c r="Y94" i="5"/>
  <c r="AA94" i="5"/>
  <c r="AB94" i="5"/>
  <c r="AC94" i="5"/>
  <c r="AF94" i="5"/>
  <c r="AH94" i="5"/>
  <c r="AV94" i="5"/>
  <c r="AV95" i="5"/>
  <c r="U96" i="5"/>
  <c r="W96" i="5"/>
  <c r="Y96" i="5"/>
  <c r="AA96" i="5"/>
  <c r="AB96" i="5"/>
  <c r="AC96" i="5"/>
  <c r="AD96" i="5"/>
  <c r="AF96" i="5"/>
  <c r="AH96" i="5"/>
  <c r="AV96" i="5"/>
  <c r="U97" i="5"/>
  <c r="W97" i="5"/>
  <c r="Y97" i="5"/>
  <c r="AA97" i="5"/>
  <c r="AB97" i="5"/>
  <c r="AC97" i="5"/>
  <c r="AF97" i="5"/>
  <c r="AH97" i="5"/>
  <c r="AV97" i="5"/>
  <c r="AV98" i="5"/>
  <c r="U99" i="5"/>
  <c r="W99" i="5"/>
  <c r="Y99" i="5"/>
  <c r="AA99" i="5"/>
  <c r="AB99" i="5"/>
  <c r="AC99" i="5"/>
  <c r="AF99" i="5"/>
  <c r="AH99" i="5"/>
  <c r="AV99" i="5"/>
  <c r="U100" i="5"/>
  <c r="W100" i="5"/>
  <c r="Y100" i="5"/>
  <c r="AA100" i="5"/>
  <c r="AB100" i="5"/>
  <c r="AC100" i="5"/>
  <c r="AF100" i="5"/>
  <c r="AH100" i="5"/>
  <c r="AV100" i="5"/>
  <c r="U101" i="5"/>
  <c r="W101" i="5"/>
  <c r="Y101" i="5"/>
  <c r="AA101" i="5"/>
  <c r="AB101" i="5"/>
  <c r="AC101" i="5"/>
  <c r="AF101" i="5"/>
  <c r="AH101" i="5"/>
  <c r="AV101" i="5"/>
  <c r="U102" i="5"/>
  <c r="W102" i="5"/>
  <c r="Y102" i="5"/>
  <c r="AA102" i="5"/>
  <c r="AB102" i="5"/>
  <c r="AC102" i="5" s="1"/>
  <c r="AF102" i="5"/>
  <c r="AH102" i="5"/>
  <c r="AV102" i="5"/>
  <c r="AV103" i="5"/>
  <c r="U104" i="5"/>
  <c r="W104" i="5"/>
  <c r="Y104" i="5"/>
  <c r="AA104" i="5"/>
  <c r="AB104" i="5"/>
  <c r="AC104" i="5"/>
  <c r="AF104" i="5"/>
  <c r="AH104" i="5"/>
  <c r="AV104" i="5"/>
  <c r="U105" i="5"/>
  <c r="W105" i="5"/>
  <c r="Y105" i="5"/>
  <c r="AA105" i="5"/>
  <c r="AB105" i="5"/>
  <c r="AC105" i="5"/>
  <c r="AF105" i="5"/>
  <c r="AH105" i="5"/>
  <c r="AV105" i="5"/>
  <c r="U106" i="5"/>
  <c r="W106" i="5"/>
  <c r="Y106" i="5"/>
  <c r="AA106" i="5"/>
  <c r="AB106" i="5"/>
  <c r="AC106" i="5" s="1"/>
  <c r="AF106" i="5"/>
  <c r="AH106" i="5"/>
  <c r="AV106" i="5"/>
  <c r="U107" i="5"/>
  <c r="W107" i="5"/>
  <c r="Y107" i="5"/>
  <c r="AA107" i="5"/>
  <c r="AB107" i="5"/>
  <c r="AC107" i="5"/>
  <c r="AF107" i="5"/>
  <c r="AH107" i="5"/>
  <c r="AV107" i="5"/>
  <c r="AV108" i="5"/>
  <c r="AV109" i="5"/>
  <c r="U110" i="5"/>
  <c r="W110" i="5"/>
  <c r="Y110" i="5"/>
  <c r="AA110" i="5"/>
  <c r="AB110" i="5"/>
  <c r="AC110" i="5" s="1"/>
  <c r="AF110" i="5"/>
  <c r="AH110" i="5"/>
  <c r="AV110" i="5"/>
  <c r="AV111" i="5"/>
  <c r="S113" i="5"/>
  <c r="T113" i="5"/>
  <c r="V113" i="5"/>
  <c r="W113" i="5"/>
  <c r="X113" i="5"/>
  <c r="Z113" i="5"/>
  <c r="AA113" i="5"/>
  <c r="AB113" i="5"/>
  <c r="AE113" i="5"/>
  <c r="AG113" i="5"/>
  <c r="AN113" i="5"/>
  <c r="AO113" i="5"/>
  <c r="AP113" i="5"/>
  <c r="AQ113" i="5"/>
  <c r="AR113" i="5"/>
  <c r="AS113" i="5"/>
  <c r="AT113" i="5"/>
  <c r="AU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7" i="5"/>
  <c r="AV138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T35" i="5" l="1"/>
  <c r="U35" i="5" s="1"/>
  <c r="X2" i="5"/>
  <c r="V2" i="5"/>
  <c r="AH10" i="5"/>
  <c r="AI10" i="5"/>
  <c r="AV15" i="5"/>
  <c r="AV8" i="5" s="1"/>
  <c r="Y36" i="5"/>
  <c r="S35" i="5"/>
  <c r="Y35" i="5" s="1"/>
  <c r="AF36" i="5"/>
  <c r="AH36" i="5"/>
  <c r="AB58" i="5"/>
  <c r="AC58" i="5" s="1"/>
  <c r="AB10" i="5"/>
  <c r="T9" i="5"/>
  <c r="AP6" i="5"/>
  <c r="AP2" i="5" s="1"/>
  <c r="AP35" i="5"/>
  <c r="AQ6" i="5"/>
  <c r="AQ2" i="5" s="1"/>
  <c r="Z6" i="5"/>
  <c r="Z2" i="5" s="1"/>
  <c r="AO6" i="5"/>
  <c r="AO2" i="5" s="1"/>
  <c r="AT8" i="5"/>
  <c r="X8" i="5"/>
  <c r="Y8" i="5" s="1"/>
  <c r="AV113" i="5"/>
  <c r="Y58" i="5"/>
  <c r="AF58" i="5"/>
  <c r="W58" i="5"/>
  <c r="AA58" i="5"/>
  <c r="AA6" i="5" s="1"/>
  <c r="AA2" i="5" s="1"/>
  <c r="AD15" i="5"/>
  <c r="AD8" i="5" s="1"/>
  <c r="AN6" i="5"/>
  <c r="AN2" i="5" s="1"/>
  <c r="AH13" i="5"/>
  <c r="AI13" i="5"/>
  <c r="AS8" i="5"/>
  <c r="AG6" i="5"/>
  <c r="V35" i="5"/>
  <c r="AU6" i="5"/>
  <c r="AU2" i="5" s="1"/>
  <c r="AH20" i="5"/>
  <c r="V8" i="5"/>
  <c r="W8" i="5" s="1"/>
  <c r="S6" i="5"/>
  <c r="S2" i="5" s="1"/>
  <c r="AV51" i="5"/>
  <c r="AV42" i="5" s="1"/>
  <c r="AV35" i="5" s="1"/>
  <c r="T42" i="5"/>
  <c r="U42" i="5" s="1"/>
  <c r="AF15" i="5"/>
  <c r="AV93" i="5"/>
  <c r="AV87" i="5" s="1"/>
  <c r="AE6" i="5"/>
  <c r="AI11" i="5"/>
  <c r="AI70" i="5"/>
  <c r="AU8" i="5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T8" i="5" l="1"/>
  <c r="U8" i="5" s="1"/>
  <c r="T6" i="5"/>
  <c r="U9" i="5"/>
  <c r="AC10" i="5"/>
  <c r="AB9" i="5"/>
  <c r="AV6" i="5"/>
  <c r="AV2" i="5" s="1"/>
  <c r="AD6" i="5"/>
  <c r="AD2" i="5" s="1"/>
  <c r="W35" i="5"/>
  <c r="AH6" i="5"/>
  <c r="AG2" i="5"/>
  <c r="AH2" i="5" s="1"/>
  <c r="W6" i="5"/>
  <c r="W2" i="5"/>
  <c r="Y6" i="5"/>
  <c r="Y2" i="5"/>
  <c r="AE2" i="5"/>
  <c r="AF2" i="5" s="1"/>
  <c r="AF6" i="5"/>
  <c r="F4" i="1"/>
  <c r="AB6" i="5" l="1"/>
  <c r="AB8" i="5"/>
  <c r="AC9" i="5"/>
  <c r="U6" i="5"/>
  <c r="T2" i="5"/>
  <c r="U2" i="5" s="1"/>
  <c r="AG135" i="2"/>
  <c r="AF135" i="2"/>
  <c r="AE135" i="2"/>
  <c r="AC135" i="2"/>
  <c r="AB135" i="2"/>
  <c r="W32" i="1" s="1"/>
  <c r="AC133" i="2"/>
  <c r="AD133" i="2"/>
  <c r="AE133" i="2"/>
  <c r="AG59" i="2"/>
  <c r="AF59" i="2"/>
  <c r="AE59" i="2"/>
  <c r="AD59" i="2"/>
  <c r="AC59" i="2"/>
  <c r="AB59" i="2"/>
  <c r="D59" i="2"/>
  <c r="F59" i="2"/>
  <c r="H59" i="2"/>
  <c r="J59" i="2"/>
  <c r="K59" i="2"/>
  <c r="M59" i="2"/>
  <c r="O59" i="2"/>
  <c r="Q59" i="2"/>
  <c r="R59" i="2"/>
  <c r="T59" i="2"/>
  <c r="U59" i="2"/>
  <c r="V59" i="2"/>
  <c r="W59" i="2"/>
  <c r="X59" i="2"/>
  <c r="Y59" i="2"/>
  <c r="AD135" i="2"/>
  <c r="Y135" i="2"/>
  <c r="X135" i="2"/>
  <c r="W135" i="2"/>
  <c r="V135" i="2"/>
  <c r="U32" i="1" s="1"/>
  <c r="U135" i="2"/>
  <c r="T135" i="2"/>
  <c r="R135" i="2"/>
  <c r="Q135" i="2"/>
  <c r="O135" i="2"/>
  <c r="R32" i="1" s="1"/>
  <c r="M135" i="2"/>
  <c r="P32" i="1" s="1"/>
  <c r="L136" i="2"/>
  <c r="L135" i="2" s="1"/>
  <c r="K135" i="2"/>
  <c r="N32" i="1" s="1"/>
  <c r="J135" i="2"/>
  <c r="H135" i="2"/>
  <c r="L32" i="1" s="1"/>
  <c r="F135" i="2"/>
  <c r="J32" i="1" s="1"/>
  <c r="D135" i="2"/>
  <c r="E32" i="1" s="1"/>
  <c r="AF133" i="2"/>
  <c r="AG133" i="2"/>
  <c r="AB133" i="2"/>
  <c r="W31" i="1" s="1"/>
  <c r="Y133" i="2"/>
  <c r="X133" i="2"/>
  <c r="W133" i="2"/>
  <c r="V133" i="2"/>
  <c r="U31" i="1" s="1"/>
  <c r="U133" i="2"/>
  <c r="T133" i="2"/>
  <c r="R133" i="2"/>
  <c r="Q133" i="2"/>
  <c r="O133" i="2"/>
  <c r="R31" i="1" s="1"/>
  <c r="M133" i="2"/>
  <c r="P31" i="1" s="1"/>
  <c r="Q31" i="1" s="1"/>
  <c r="K133" i="2"/>
  <c r="N31" i="1" s="1"/>
  <c r="J133" i="2"/>
  <c r="H133" i="2"/>
  <c r="L31" i="1" s="1"/>
  <c r="F133" i="2"/>
  <c r="J31" i="1" s="1"/>
  <c r="D133" i="2"/>
  <c r="E31" i="1" s="1"/>
  <c r="AC6" i="5" l="1"/>
  <c r="AB2" i="5"/>
  <c r="AC2" i="5" s="1"/>
  <c r="K32" i="1"/>
  <c r="M32" i="1"/>
  <c r="Q32" i="1"/>
  <c r="S32" i="1"/>
  <c r="K31" i="1"/>
  <c r="O31" i="1"/>
  <c r="M31" i="1"/>
  <c r="S31" i="1"/>
  <c r="AA34" i="2"/>
  <c r="S34" i="2"/>
  <c r="Z136" i="2"/>
  <c r="Z135" i="2" s="1"/>
  <c r="P136" i="2"/>
  <c r="P135" i="2" s="1"/>
  <c r="N136" i="2"/>
  <c r="N135" i="2" s="1"/>
  <c r="I136" i="2"/>
  <c r="I135" i="2" s="1"/>
  <c r="G136" i="2"/>
  <c r="G135" i="2" s="1"/>
  <c r="AA135" i="2"/>
  <c r="S135" i="2"/>
  <c r="E135" i="2"/>
  <c r="AN136" i="2" l="1"/>
  <c r="AN135" i="2"/>
  <c r="Z134" i="2"/>
  <c r="P134" i="2"/>
  <c r="P133" i="2" s="1"/>
  <c r="N134" i="2"/>
  <c r="N133" i="2" s="1"/>
  <c r="L134" i="2"/>
  <c r="L133" i="2" s="1"/>
  <c r="I134" i="2"/>
  <c r="I133" i="2" s="1"/>
  <c r="G134" i="2"/>
  <c r="G133" i="2" s="1"/>
  <c r="AA133" i="2"/>
  <c r="S133" i="2"/>
  <c r="E133" i="2"/>
  <c r="Z126" i="2"/>
  <c r="AN126" i="2" s="1"/>
  <c r="P126" i="2"/>
  <c r="N126" i="2"/>
  <c r="I126" i="2"/>
  <c r="G126" i="2"/>
  <c r="Z132" i="2"/>
  <c r="Z128" i="2"/>
  <c r="Z129" i="2"/>
  <c r="S131" i="2"/>
  <c r="T131" i="2"/>
  <c r="U131" i="2"/>
  <c r="V131" i="2"/>
  <c r="U30" i="1" s="1"/>
  <c r="W131" i="2"/>
  <c r="X131" i="2"/>
  <c r="Y131" i="2"/>
  <c r="AA131" i="2"/>
  <c r="AB131" i="2"/>
  <c r="W30" i="1" s="1"/>
  <c r="AC131" i="2"/>
  <c r="AD131" i="2"/>
  <c r="AE131" i="2"/>
  <c r="AF131" i="2"/>
  <c r="AG131" i="2"/>
  <c r="E131" i="2"/>
  <c r="F131" i="2"/>
  <c r="J30" i="1" s="1"/>
  <c r="H131" i="2"/>
  <c r="L30" i="1" s="1"/>
  <c r="J131" i="2"/>
  <c r="K131" i="2"/>
  <c r="N30" i="1" s="1"/>
  <c r="M131" i="2"/>
  <c r="P30" i="1" s="1"/>
  <c r="O131" i="2"/>
  <c r="R30" i="1" s="1"/>
  <c r="Q131" i="2"/>
  <c r="R131" i="2"/>
  <c r="D131" i="2"/>
  <c r="E30" i="1" s="1"/>
  <c r="AN132" i="2"/>
  <c r="P132" i="2"/>
  <c r="P131" i="2" s="1"/>
  <c r="N132" i="2"/>
  <c r="N131" i="2" s="1"/>
  <c r="L132" i="2"/>
  <c r="L131" i="2" s="1"/>
  <c r="I132" i="2"/>
  <c r="I131" i="2" s="1"/>
  <c r="G132" i="2"/>
  <c r="G131" i="2" s="1"/>
  <c r="Z65" i="2"/>
  <c r="AN65" i="2" s="1"/>
  <c r="P65" i="2"/>
  <c r="N65" i="2"/>
  <c r="I65" i="2"/>
  <c r="G65" i="2"/>
  <c r="K30" i="1" l="1"/>
  <c r="S30" i="1"/>
  <c r="Q30" i="1"/>
  <c r="O30" i="1"/>
  <c r="AN134" i="2"/>
  <c r="Z133" i="2"/>
  <c r="AN133" i="2" s="1"/>
  <c r="M30" i="1"/>
  <c r="Z131" i="2"/>
  <c r="AN131" i="2" s="1"/>
  <c r="U127" i="2" l="1"/>
  <c r="U124" i="2"/>
  <c r="U121" i="2"/>
  <c r="U119" i="2"/>
  <c r="U117" i="2"/>
  <c r="U115" i="2"/>
  <c r="U111" i="2"/>
  <c r="U105" i="2"/>
  <c r="U102" i="2"/>
  <c r="U99" i="2"/>
  <c r="U97" i="2"/>
  <c r="U95" i="2"/>
  <c r="U93" i="2"/>
  <c r="U91" i="2"/>
  <c r="U88" i="2"/>
  <c r="U80" i="2"/>
  <c r="U75" i="2"/>
  <c r="U66" i="2"/>
  <c r="U49" i="2"/>
  <c r="U41" i="2"/>
  <c r="U37" i="2"/>
  <c r="U34" i="2"/>
  <c r="U27" i="2"/>
  <c r="U19" i="2"/>
  <c r="U4" i="2"/>
  <c r="U40" i="2" l="1"/>
  <c r="U2" i="2"/>
  <c r="AG19" i="2"/>
  <c r="AE19" i="2"/>
  <c r="AC19" i="2"/>
  <c r="T19" i="2"/>
  <c r="AG27" i="2"/>
  <c r="AE27" i="2"/>
  <c r="AC27" i="2"/>
  <c r="T27" i="2"/>
  <c r="AG34" i="2"/>
  <c r="AE34" i="2"/>
  <c r="AC34" i="2"/>
  <c r="T34" i="2"/>
  <c r="AG37" i="2"/>
  <c r="AE37" i="2"/>
  <c r="AC37" i="2"/>
  <c r="T37" i="2"/>
  <c r="AG41" i="2"/>
  <c r="AE41" i="2"/>
  <c r="AC41" i="2"/>
  <c r="T41" i="2"/>
  <c r="AG49" i="2"/>
  <c r="AE49" i="2"/>
  <c r="AC49" i="2"/>
  <c r="T49" i="2"/>
  <c r="AG66" i="2"/>
  <c r="AE66" i="2"/>
  <c r="AC66" i="2"/>
  <c r="T66" i="2"/>
  <c r="AG75" i="2"/>
  <c r="AE75" i="2"/>
  <c r="AC75" i="2"/>
  <c r="T75" i="2"/>
  <c r="AG80" i="2"/>
  <c r="AE80" i="2"/>
  <c r="AC80" i="2"/>
  <c r="T80" i="2"/>
  <c r="AG88" i="2"/>
  <c r="AE88" i="2"/>
  <c r="AC88" i="2"/>
  <c r="T88" i="2"/>
  <c r="AG91" i="2"/>
  <c r="AE91" i="2"/>
  <c r="AC91" i="2"/>
  <c r="T91" i="2"/>
  <c r="AG93" i="2"/>
  <c r="AE93" i="2"/>
  <c r="AC93" i="2"/>
  <c r="T93" i="2"/>
  <c r="AG95" i="2"/>
  <c r="AE95" i="2"/>
  <c r="AC95" i="2"/>
  <c r="T95" i="2"/>
  <c r="AG97" i="2"/>
  <c r="AE97" i="2"/>
  <c r="AC97" i="2"/>
  <c r="T97" i="2"/>
  <c r="AG99" i="2"/>
  <c r="AE99" i="2"/>
  <c r="AC99" i="2"/>
  <c r="T99" i="2"/>
  <c r="AG102" i="2"/>
  <c r="AE102" i="2"/>
  <c r="AC102" i="2"/>
  <c r="T102" i="2"/>
  <c r="AG105" i="2"/>
  <c r="AE105" i="2"/>
  <c r="AC105" i="2"/>
  <c r="T105" i="2"/>
  <c r="AG111" i="2"/>
  <c r="AE111" i="2"/>
  <c r="AC111" i="2"/>
  <c r="T111" i="2"/>
  <c r="T115" i="2"/>
  <c r="AC115" i="2"/>
  <c r="AE115" i="2"/>
  <c r="AG115" i="2"/>
  <c r="T117" i="2"/>
  <c r="AC117" i="2"/>
  <c r="AE117" i="2"/>
  <c r="AG117" i="2"/>
  <c r="AG119" i="2"/>
  <c r="AE119" i="2"/>
  <c r="AC119" i="2"/>
  <c r="T119" i="2"/>
  <c r="AG121" i="2"/>
  <c r="AE121" i="2"/>
  <c r="AC121" i="2"/>
  <c r="T121" i="2"/>
  <c r="T124" i="2"/>
  <c r="AC124" i="2"/>
  <c r="AE124" i="2"/>
  <c r="AG124" i="2"/>
  <c r="AG127" i="2"/>
  <c r="AE127" i="2"/>
  <c r="AC127" i="2"/>
  <c r="T127" i="2"/>
  <c r="AC40" i="2" l="1"/>
  <c r="AG40" i="2"/>
  <c r="AE40" i="2"/>
  <c r="T40" i="2"/>
  <c r="AG4" i="2"/>
  <c r="AG2" i="2" s="1"/>
  <c r="AE4" i="2"/>
  <c r="AE2" i="2" s="1"/>
  <c r="AC4" i="2"/>
  <c r="AC2" i="2" s="1"/>
  <c r="T4" i="2"/>
  <c r="T2" i="2" s="1"/>
  <c r="Z89" i="2" l="1"/>
  <c r="M8" i="2" l="1"/>
  <c r="V8" i="2" l="1"/>
  <c r="Z103" i="2" l="1"/>
  <c r="L56" i="2" l="1"/>
  <c r="Z5" i="2" l="1"/>
  <c r="AN5" i="2" s="1"/>
  <c r="O99" i="2" l="1"/>
  <c r="M99" i="2"/>
  <c r="K99" i="2"/>
  <c r="J99" i="2"/>
  <c r="H99" i="2"/>
  <c r="F99" i="2"/>
  <c r="D99" i="2"/>
  <c r="D111" i="2"/>
  <c r="AF121" i="2"/>
  <c r="AD121" i="2"/>
  <c r="AB121" i="2"/>
  <c r="AA121" i="2"/>
  <c r="Y121" i="2"/>
  <c r="X121" i="2"/>
  <c r="W121" i="2"/>
  <c r="V121" i="2"/>
  <c r="S121" i="2"/>
  <c r="R121" i="2"/>
  <c r="Q121" i="2"/>
  <c r="O121" i="2"/>
  <c r="M121" i="2"/>
  <c r="K121" i="2"/>
  <c r="J121" i="2"/>
  <c r="H121" i="2"/>
  <c r="F121" i="2"/>
  <c r="D121" i="2"/>
  <c r="AF127" i="2"/>
  <c r="AD127" i="2"/>
  <c r="AB127" i="2"/>
  <c r="AA127" i="2"/>
  <c r="Y127" i="2"/>
  <c r="X127" i="2"/>
  <c r="W127" i="2"/>
  <c r="V127" i="2"/>
  <c r="S127" i="2"/>
  <c r="R127" i="2"/>
  <c r="Q127" i="2"/>
  <c r="O127" i="2"/>
  <c r="M127" i="2"/>
  <c r="K127" i="2"/>
  <c r="J127" i="2"/>
  <c r="H127" i="2"/>
  <c r="F127" i="2"/>
  <c r="D127" i="2"/>
  <c r="D124" i="2"/>
  <c r="D119" i="2"/>
  <c r="D117" i="2"/>
  <c r="D115" i="2"/>
  <c r="AF105" i="2"/>
  <c r="AD105" i="2"/>
  <c r="AB105" i="2"/>
  <c r="AA105" i="2"/>
  <c r="Y105" i="2"/>
  <c r="X105" i="2"/>
  <c r="W105" i="2"/>
  <c r="V105" i="2"/>
  <c r="S105" i="2"/>
  <c r="R105" i="2"/>
  <c r="Q105" i="2"/>
  <c r="O105" i="2"/>
  <c r="M105" i="2"/>
  <c r="K105" i="2"/>
  <c r="J105" i="2"/>
  <c r="H105" i="2"/>
  <c r="F105" i="2"/>
  <c r="D105" i="2"/>
  <c r="AF102" i="2"/>
  <c r="AD102" i="2"/>
  <c r="AB102" i="2"/>
  <c r="AA102" i="2"/>
  <c r="Y102" i="2"/>
  <c r="X102" i="2"/>
  <c r="W102" i="2"/>
  <c r="V102" i="2"/>
  <c r="S102" i="2"/>
  <c r="R102" i="2"/>
  <c r="Q102" i="2"/>
  <c r="O102" i="2"/>
  <c r="M102" i="2"/>
  <c r="K102" i="2"/>
  <c r="J102" i="2"/>
  <c r="H102" i="2"/>
  <c r="F102" i="2"/>
  <c r="D102" i="2"/>
  <c r="D97" i="2"/>
  <c r="D95" i="2"/>
  <c r="D93" i="2"/>
  <c r="D91" i="2"/>
  <c r="D88" i="2"/>
  <c r="D80" i="2"/>
  <c r="AF80" i="2"/>
  <c r="AD80" i="2"/>
  <c r="AB80" i="2"/>
  <c r="AA80" i="2"/>
  <c r="Y80" i="2"/>
  <c r="X80" i="2"/>
  <c r="W80" i="2"/>
  <c r="V80" i="2"/>
  <c r="S80" i="2"/>
  <c r="R80" i="2"/>
  <c r="Q80" i="2"/>
  <c r="O80" i="2"/>
  <c r="M80" i="2"/>
  <c r="K80" i="2"/>
  <c r="J80" i="2"/>
  <c r="H80" i="2"/>
  <c r="F80" i="2"/>
  <c r="AF75" i="2"/>
  <c r="AD75" i="2"/>
  <c r="AB75" i="2"/>
  <c r="AA75" i="2"/>
  <c r="Y75" i="2"/>
  <c r="X75" i="2"/>
  <c r="W75" i="2"/>
  <c r="V75" i="2"/>
  <c r="S75" i="2"/>
  <c r="R75" i="2"/>
  <c r="Q75" i="2"/>
  <c r="O75" i="2"/>
  <c r="M75" i="2"/>
  <c r="K75" i="2"/>
  <c r="J75" i="2"/>
  <c r="H75" i="2"/>
  <c r="F75" i="2"/>
  <c r="D75" i="2"/>
  <c r="F66" i="2"/>
  <c r="D66" i="2"/>
  <c r="AA59" i="2"/>
  <c r="S59" i="2"/>
  <c r="D41" i="2"/>
  <c r="AF49" i="2"/>
  <c r="AD49" i="2"/>
  <c r="AB49" i="2"/>
  <c r="Y49" i="2"/>
  <c r="X49" i="2"/>
  <c r="W49" i="2"/>
  <c r="V49" i="2"/>
  <c r="R49" i="2"/>
  <c r="Q49" i="2"/>
  <c r="O49" i="2"/>
  <c r="M49" i="2"/>
  <c r="K49" i="2"/>
  <c r="J49" i="2"/>
  <c r="H49" i="2"/>
  <c r="F49" i="2"/>
  <c r="D49" i="2"/>
  <c r="AF41" i="2"/>
  <c r="AD41" i="2"/>
  <c r="AB41" i="2"/>
  <c r="Y41" i="2"/>
  <c r="X41" i="2"/>
  <c r="W41" i="2"/>
  <c r="V41" i="2"/>
  <c r="R41" i="2"/>
  <c r="Q41" i="2"/>
  <c r="O41" i="2"/>
  <c r="M41" i="2"/>
  <c r="K41" i="2"/>
  <c r="J41" i="2"/>
  <c r="H41" i="2"/>
  <c r="F41" i="2"/>
  <c r="F37" i="2"/>
  <c r="D37" i="2"/>
  <c r="AF34" i="2"/>
  <c r="AD34" i="2"/>
  <c r="AB34" i="2"/>
  <c r="Y34" i="2"/>
  <c r="X34" i="2"/>
  <c r="W34" i="2"/>
  <c r="V34" i="2"/>
  <c r="R34" i="2"/>
  <c r="Q34" i="2"/>
  <c r="O34" i="2"/>
  <c r="M34" i="2"/>
  <c r="K34" i="2"/>
  <c r="J34" i="2"/>
  <c r="H34" i="2"/>
  <c r="F34" i="2"/>
  <c r="D34" i="2"/>
  <c r="AF27" i="2"/>
  <c r="AD27" i="2"/>
  <c r="AB27" i="2"/>
  <c r="Y27" i="2"/>
  <c r="W27" i="2"/>
  <c r="V27" i="2"/>
  <c r="R27" i="2"/>
  <c r="Q27" i="2"/>
  <c r="O27" i="2"/>
  <c r="M27" i="2"/>
  <c r="K27" i="2"/>
  <c r="J27" i="2"/>
  <c r="H27" i="2"/>
  <c r="F27" i="2"/>
  <c r="D27" i="2"/>
  <c r="AF19" i="2"/>
  <c r="AD19" i="2"/>
  <c r="AB19" i="2"/>
  <c r="Y19" i="2"/>
  <c r="X19" i="2"/>
  <c r="W19" i="2"/>
  <c r="V19" i="2"/>
  <c r="R19" i="2"/>
  <c r="Q19" i="2"/>
  <c r="O19" i="2"/>
  <c r="K19" i="2"/>
  <c r="J19" i="2"/>
  <c r="H19" i="2"/>
  <c r="F19" i="2"/>
  <c r="D19" i="2"/>
  <c r="D4" i="2"/>
  <c r="AF4" i="2"/>
  <c r="AD4" i="2"/>
  <c r="AB4" i="2"/>
  <c r="Y4" i="2"/>
  <c r="X4" i="2"/>
  <c r="W4" i="2"/>
  <c r="V4" i="2"/>
  <c r="R4" i="2"/>
  <c r="Q4" i="2"/>
  <c r="O4" i="2"/>
  <c r="M4" i="2"/>
  <c r="K4" i="2"/>
  <c r="J4" i="2"/>
  <c r="H4" i="2"/>
  <c r="F4" i="2"/>
  <c r="D40" i="2" l="1"/>
  <c r="G4" i="2"/>
  <c r="D2" i="2"/>
  <c r="X27" i="2" l="1"/>
  <c r="X124" i="2"/>
  <c r="Y124" i="2"/>
  <c r="X119" i="2"/>
  <c r="Y119" i="2"/>
  <c r="X117" i="2"/>
  <c r="Y117" i="2"/>
  <c r="X115" i="2"/>
  <c r="Y115" i="2"/>
  <c r="X111" i="2"/>
  <c r="Y111" i="2"/>
  <c r="X99" i="2"/>
  <c r="Y99" i="2"/>
  <c r="X97" i="2"/>
  <c r="Y97" i="2"/>
  <c r="X95" i="2"/>
  <c r="Y95" i="2"/>
  <c r="X93" i="2"/>
  <c r="Y93" i="2"/>
  <c r="X91" i="2"/>
  <c r="Y91" i="2"/>
  <c r="X88" i="2"/>
  <c r="Y88" i="2"/>
  <c r="X66" i="2"/>
  <c r="Y66" i="2"/>
  <c r="X37" i="2"/>
  <c r="Y37" i="2"/>
  <c r="W124" i="2"/>
  <c r="W119" i="2"/>
  <c r="W117" i="2"/>
  <c r="W115" i="2"/>
  <c r="W111" i="2"/>
  <c r="W99" i="2"/>
  <c r="W97" i="2"/>
  <c r="W95" i="2"/>
  <c r="W93" i="2"/>
  <c r="W91" i="2"/>
  <c r="W88" i="2"/>
  <c r="W66" i="2"/>
  <c r="W37" i="2"/>
  <c r="W2" i="2" l="1"/>
  <c r="W40" i="2"/>
  <c r="X40" i="2"/>
  <c r="Y40" i="2"/>
  <c r="Z28" i="2" l="1"/>
  <c r="AN28" i="2" s="1"/>
  <c r="Z31" i="2"/>
  <c r="AN31" i="2" s="1"/>
  <c r="Z130" i="2"/>
  <c r="AN130" i="2" s="1"/>
  <c r="AN128" i="2"/>
  <c r="AN129" i="2"/>
  <c r="Z125" i="2"/>
  <c r="Z122" i="2"/>
  <c r="AN122" i="2" s="1"/>
  <c r="Z123" i="2"/>
  <c r="AN123" i="2" s="1"/>
  <c r="Z120" i="2"/>
  <c r="Z118" i="2"/>
  <c r="Z116" i="2"/>
  <c r="Z114" i="2"/>
  <c r="AN114" i="2" s="1"/>
  <c r="Z113" i="2"/>
  <c r="AN113" i="2" s="1"/>
  <c r="Z112" i="2"/>
  <c r="Z110" i="2"/>
  <c r="AN110" i="2" s="1"/>
  <c r="Z109" i="2"/>
  <c r="AN109" i="2" s="1"/>
  <c r="Z108" i="2"/>
  <c r="AN108" i="2" s="1"/>
  <c r="Z106" i="2"/>
  <c r="AN106" i="2" s="1"/>
  <c r="Z107" i="2"/>
  <c r="AN107" i="2" s="1"/>
  <c r="Z104" i="2"/>
  <c r="AN104" i="2" s="1"/>
  <c r="AN103" i="2"/>
  <c r="Z101" i="2"/>
  <c r="AN101" i="2" s="1"/>
  <c r="Z100" i="2"/>
  <c r="AN100" i="2" s="1"/>
  <c r="Z98" i="2"/>
  <c r="Z96" i="2"/>
  <c r="Z94" i="2"/>
  <c r="Z92" i="2"/>
  <c r="Z90" i="2"/>
  <c r="AN90" i="2" s="1"/>
  <c r="AN89" i="2"/>
  <c r="Z87" i="2"/>
  <c r="AN87" i="2" s="1"/>
  <c r="Z86" i="2"/>
  <c r="AN86" i="2" s="1"/>
  <c r="Z85" i="2"/>
  <c r="AN85" i="2" s="1"/>
  <c r="Z84" i="2"/>
  <c r="AN84" i="2" s="1"/>
  <c r="Z81" i="2"/>
  <c r="AN81" i="2" s="1"/>
  <c r="Z83" i="2"/>
  <c r="AN83" i="2" s="1"/>
  <c r="Z82" i="2"/>
  <c r="AN82" i="2" s="1"/>
  <c r="Z78" i="2"/>
  <c r="AN78" i="2" s="1"/>
  <c r="Z76" i="2"/>
  <c r="AN76" i="2" s="1"/>
  <c r="Z79" i="2"/>
  <c r="AN79" i="2" s="1"/>
  <c r="Z77" i="2"/>
  <c r="AN77" i="2" s="1"/>
  <c r="Z74" i="2"/>
  <c r="AN74" i="2" s="1"/>
  <c r="Z73" i="2"/>
  <c r="AN73" i="2" s="1"/>
  <c r="Z72" i="2"/>
  <c r="AN72" i="2" s="1"/>
  <c r="Z71" i="2"/>
  <c r="AN71" i="2" s="1"/>
  <c r="Z70" i="2"/>
  <c r="AN70" i="2" s="1"/>
  <c r="Z69" i="2"/>
  <c r="AN69" i="2" s="1"/>
  <c r="Z68" i="2"/>
  <c r="AN68" i="2" s="1"/>
  <c r="Z67" i="2"/>
  <c r="AN67" i="2" s="1"/>
  <c r="Z64" i="2"/>
  <c r="AN64" i="2" s="1"/>
  <c r="Z63" i="2"/>
  <c r="AN63" i="2" s="1"/>
  <c r="Z61" i="2"/>
  <c r="AN61" i="2" s="1"/>
  <c r="Z60" i="2"/>
  <c r="Z62" i="2"/>
  <c r="AN62" i="2" s="1"/>
  <c r="Z50" i="2"/>
  <c r="AN50" i="2" s="1"/>
  <c r="Z58" i="2"/>
  <c r="AN58" i="2" s="1"/>
  <c r="Z57" i="2"/>
  <c r="AN57" i="2" s="1"/>
  <c r="Z51" i="2"/>
  <c r="AN51" i="2" s="1"/>
  <c r="Z53" i="2"/>
  <c r="AN53" i="2" s="1"/>
  <c r="Z56" i="2"/>
  <c r="AN56" i="2" s="1"/>
  <c r="Z52" i="2"/>
  <c r="AN52" i="2" s="1"/>
  <c r="Z55" i="2"/>
  <c r="AN55" i="2" s="1"/>
  <c r="Z54" i="2"/>
  <c r="AN54" i="2" s="1"/>
  <c r="Z46" i="2"/>
  <c r="AN46" i="2" s="1"/>
  <c r="Z48" i="2"/>
  <c r="AN48" i="2" s="1"/>
  <c r="Z45" i="2"/>
  <c r="AN45" i="2" s="1"/>
  <c r="Z42" i="2"/>
  <c r="AN42" i="2" s="1"/>
  <c r="Z47" i="2"/>
  <c r="AN47" i="2" s="1"/>
  <c r="Z43" i="2"/>
  <c r="AN43" i="2" s="1"/>
  <c r="Z44" i="2"/>
  <c r="AN44" i="2" s="1"/>
  <c r="Z39" i="2"/>
  <c r="AN39" i="2" s="1"/>
  <c r="Z38" i="2"/>
  <c r="AN38" i="2" s="1"/>
  <c r="Z35" i="2"/>
  <c r="AN35" i="2" s="1"/>
  <c r="Z36" i="2"/>
  <c r="AN36" i="2" s="1"/>
  <c r="Z33" i="2"/>
  <c r="AN33" i="2" s="1"/>
  <c r="Z32" i="2"/>
  <c r="AN32" i="2" s="1"/>
  <c r="Z29" i="2"/>
  <c r="AN29" i="2" s="1"/>
  <c r="Z30" i="2"/>
  <c r="AN30" i="2" s="1"/>
  <c r="Z23" i="2"/>
  <c r="AN23" i="2" s="1"/>
  <c r="Z26" i="2"/>
  <c r="AN26" i="2" s="1"/>
  <c r="Z25" i="2"/>
  <c r="AN25" i="2" s="1"/>
  <c r="Z20" i="2"/>
  <c r="AN20" i="2" s="1"/>
  <c r="Z24" i="2"/>
  <c r="AN24" i="2" s="1"/>
  <c r="Z21" i="2"/>
  <c r="Z22" i="2"/>
  <c r="AN22" i="2" s="1"/>
  <c r="Z6" i="2"/>
  <c r="AN6" i="2" s="1"/>
  <c r="Z7" i="2"/>
  <c r="AN7" i="2" s="1"/>
  <c r="Z18" i="2"/>
  <c r="AN18" i="2" s="1"/>
  <c r="Z17" i="2"/>
  <c r="AN17" i="2" s="1"/>
  <c r="Z16" i="2"/>
  <c r="AN16" i="2" s="1"/>
  <c r="Z10" i="2"/>
  <c r="AN10" i="2" s="1"/>
  <c r="Z9" i="2"/>
  <c r="AN9" i="2" s="1"/>
  <c r="Z11" i="2"/>
  <c r="AN11" i="2" s="1"/>
  <c r="Z8" i="2"/>
  <c r="AN8" i="2" s="1"/>
  <c r="Z15" i="2"/>
  <c r="AN15" i="2" s="1"/>
  <c r="Z14" i="2"/>
  <c r="AN14" i="2" s="1"/>
  <c r="Z13" i="2"/>
  <c r="AN13" i="2" s="1"/>
  <c r="Z12" i="2"/>
  <c r="AN12" i="2" s="1"/>
  <c r="AN60" i="2" l="1"/>
  <c r="Z59" i="2"/>
  <c r="AN59" i="2" s="1"/>
  <c r="AN112" i="2"/>
  <c r="Z111" i="2"/>
  <c r="Z91" i="2"/>
  <c r="AN92" i="2"/>
  <c r="Z93" i="2"/>
  <c r="AN94" i="2"/>
  <c r="Z115" i="2"/>
  <c r="AN116" i="2"/>
  <c r="Z95" i="2"/>
  <c r="AN96" i="2"/>
  <c r="Z117" i="2"/>
  <c r="AN118" i="2"/>
  <c r="Z124" i="2"/>
  <c r="AN125" i="2"/>
  <c r="Z97" i="2"/>
  <c r="AN98" i="2"/>
  <c r="Z119" i="2"/>
  <c r="AN120" i="2"/>
  <c r="Z80" i="2"/>
  <c r="AN80" i="2" s="1"/>
  <c r="Z19" i="2"/>
  <c r="Z99" i="2"/>
  <c r="Z121" i="2"/>
  <c r="AN121" i="2" s="1"/>
  <c r="Z4" i="2"/>
  <c r="Z105" i="2"/>
  <c r="AN105" i="2" s="1"/>
  <c r="Z41" i="2"/>
  <c r="AN41" i="2" s="1"/>
  <c r="Z49" i="2"/>
  <c r="AN49" i="2" s="1"/>
  <c r="Y2" i="2"/>
  <c r="Z102" i="2"/>
  <c r="AN102" i="2" s="1"/>
  <c r="Z127" i="2"/>
  <c r="AN127" i="2" s="1"/>
  <c r="Z75" i="2"/>
  <c r="AN75" i="2" s="1"/>
  <c r="Z34" i="2"/>
  <c r="AN34" i="2" s="1"/>
  <c r="Z27" i="2"/>
  <c r="AN27" i="2" s="1"/>
  <c r="Z88" i="2"/>
  <c r="Z37" i="2"/>
  <c r="Z66" i="2"/>
  <c r="X2" i="2"/>
  <c r="AD124" i="2"/>
  <c r="AF124" i="2"/>
  <c r="AD119" i="2"/>
  <c r="AF119" i="2"/>
  <c r="AD117" i="2"/>
  <c r="AF117" i="2"/>
  <c r="AD115" i="2"/>
  <c r="AF115" i="2"/>
  <c r="AD111" i="2"/>
  <c r="AF111" i="2"/>
  <c r="AD99" i="2"/>
  <c r="AF99" i="2"/>
  <c r="AD97" i="2"/>
  <c r="AF97" i="2"/>
  <c r="AD95" i="2"/>
  <c r="AF95" i="2"/>
  <c r="AD93" i="2"/>
  <c r="AF93" i="2"/>
  <c r="AD91" i="2"/>
  <c r="AF91" i="2"/>
  <c r="AD88" i="2"/>
  <c r="AF88" i="2"/>
  <c r="AD66" i="2"/>
  <c r="AF66" i="2"/>
  <c r="AD37" i="2"/>
  <c r="AF37" i="2"/>
  <c r="AD2" i="2" l="1"/>
  <c r="AF2" i="2"/>
  <c r="Z2" i="2"/>
  <c r="Z40" i="2"/>
  <c r="AF40" i="2"/>
  <c r="AD40" i="2"/>
  <c r="G117" i="2" l="1"/>
  <c r="K26" i="1" s="1"/>
  <c r="W29" i="1" l="1"/>
  <c r="G51" i="2" l="1"/>
  <c r="P125" i="2" l="1"/>
  <c r="N125" i="2"/>
  <c r="L125" i="2"/>
  <c r="P123" i="2"/>
  <c r="P122" i="2"/>
  <c r="N123" i="2"/>
  <c r="N122" i="2"/>
  <c r="L123" i="2"/>
  <c r="L122" i="2"/>
  <c r="P120" i="2"/>
  <c r="N120" i="2"/>
  <c r="L120" i="2"/>
  <c r="L118" i="2"/>
  <c r="N118" i="2"/>
  <c r="P118" i="2"/>
  <c r="P112" i="2"/>
  <c r="P113" i="2"/>
  <c r="P114" i="2"/>
  <c r="N114" i="2"/>
  <c r="N113" i="2"/>
  <c r="N112" i="2"/>
  <c r="L113" i="2"/>
  <c r="L112" i="2"/>
  <c r="P103" i="2"/>
  <c r="P104" i="2"/>
  <c r="N103" i="2"/>
  <c r="N104" i="2"/>
  <c r="L103" i="2"/>
  <c r="L104" i="2"/>
  <c r="P101" i="2"/>
  <c r="P100" i="2"/>
  <c r="N101" i="2"/>
  <c r="N100" i="2"/>
  <c r="L101" i="2"/>
  <c r="L100" i="2"/>
  <c r="P98" i="2"/>
  <c r="N98" i="2"/>
  <c r="L98" i="2"/>
  <c r="P96" i="2"/>
  <c r="N96" i="2"/>
  <c r="L96" i="2"/>
  <c r="P94" i="2"/>
  <c r="N94" i="2"/>
  <c r="L94" i="2"/>
  <c r="P92" i="2"/>
  <c r="N92" i="2"/>
  <c r="L92" i="2"/>
  <c r="P89" i="2"/>
  <c r="P90" i="2"/>
  <c r="N89" i="2"/>
  <c r="N90" i="2"/>
  <c r="L89" i="2"/>
  <c r="L90" i="2"/>
  <c r="P82" i="2"/>
  <c r="P83" i="2"/>
  <c r="P81" i="2"/>
  <c r="P84" i="2"/>
  <c r="P85" i="2"/>
  <c r="P86" i="2"/>
  <c r="P87" i="2"/>
  <c r="N82" i="2"/>
  <c r="N83" i="2"/>
  <c r="N81" i="2"/>
  <c r="N84" i="2"/>
  <c r="N85" i="2"/>
  <c r="N86" i="2"/>
  <c r="N87" i="2"/>
  <c r="L82" i="2"/>
  <c r="L83" i="2"/>
  <c r="L81" i="2"/>
  <c r="L84" i="2"/>
  <c r="L85" i="2"/>
  <c r="L86" i="2"/>
  <c r="L87" i="2"/>
  <c r="N77" i="2"/>
  <c r="N79" i="2"/>
  <c r="N76" i="2"/>
  <c r="N78" i="2"/>
  <c r="P77" i="2"/>
  <c r="P79" i="2"/>
  <c r="P76" i="2"/>
  <c r="P78" i="2"/>
  <c r="L77" i="2"/>
  <c r="L79" i="2"/>
  <c r="L76" i="2"/>
  <c r="L78" i="2"/>
  <c r="P67" i="2"/>
  <c r="P68" i="2"/>
  <c r="P69" i="2"/>
  <c r="P70" i="2"/>
  <c r="P71" i="2"/>
  <c r="P72" i="2"/>
  <c r="P73" i="2"/>
  <c r="P74" i="2"/>
  <c r="N67" i="2"/>
  <c r="N68" i="2"/>
  <c r="N69" i="2"/>
  <c r="N70" i="2"/>
  <c r="N71" i="2"/>
  <c r="N72" i="2"/>
  <c r="N73" i="2"/>
  <c r="N74" i="2"/>
  <c r="L67" i="2"/>
  <c r="L68" i="2"/>
  <c r="L69" i="2"/>
  <c r="L70" i="2"/>
  <c r="L71" i="2"/>
  <c r="L72" i="2"/>
  <c r="L73" i="2"/>
  <c r="L74" i="2"/>
  <c r="P62" i="2"/>
  <c r="P60" i="2"/>
  <c r="P61" i="2"/>
  <c r="P63" i="2"/>
  <c r="P64" i="2"/>
  <c r="N64" i="2"/>
  <c r="N63" i="2"/>
  <c r="N61" i="2"/>
  <c r="N60" i="2"/>
  <c r="N62" i="2"/>
  <c r="L62" i="2"/>
  <c r="L60" i="2"/>
  <c r="L61" i="2"/>
  <c r="L63" i="2"/>
  <c r="L64" i="2"/>
  <c r="P54" i="2"/>
  <c r="P55" i="2"/>
  <c r="P52" i="2"/>
  <c r="P56" i="2"/>
  <c r="P53" i="2"/>
  <c r="P51" i="2"/>
  <c r="P57" i="2"/>
  <c r="P58" i="2"/>
  <c r="P50" i="2"/>
  <c r="N54" i="2"/>
  <c r="N55" i="2"/>
  <c r="N52" i="2"/>
  <c r="N56" i="2"/>
  <c r="N53" i="2"/>
  <c r="N51" i="2"/>
  <c r="N57" i="2"/>
  <c r="N58" i="2"/>
  <c r="N50" i="2"/>
  <c r="L54" i="2"/>
  <c r="L55" i="2"/>
  <c r="L52" i="2"/>
  <c r="L53" i="2"/>
  <c r="L51" i="2"/>
  <c r="L57" i="2"/>
  <c r="L58" i="2"/>
  <c r="L50" i="2"/>
  <c r="P44" i="2"/>
  <c r="P43" i="2"/>
  <c r="P47" i="2"/>
  <c r="P42" i="2"/>
  <c r="P45" i="2"/>
  <c r="P48" i="2"/>
  <c r="P46" i="2"/>
  <c r="N44" i="2"/>
  <c r="N43" i="2"/>
  <c r="N47" i="2"/>
  <c r="N42" i="2"/>
  <c r="N45" i="2"/>
  <c r="N48" i="2"/>
  <c r="N46" i="2"/>
  <c r="L46" i="2"/>
  <c r="L48" i="2"/>
  <c r="L45" i="2"/>
  <c r="L42" i="2"/>
  <c r="L47" i="2"/>
  <c r="L43" i="2"/>
  <c r="L44" i="2"/>
  <c r="P38" i="2"/>
  <c r="P39" i="2"/>
  <c r="N38" i="2"/>
  <c r="N39" i="2"/>
  <c r="L38" i="2"/>
  <c r="L39" i="2"/>
  <c r="P36" i="2"/>
  <c r="P35" i="2"/>
  <c r="N36" i="2"/>
  <c r="N35" i="2"/>
  <c r="L36" i="2"/>
  <c r="L35" i="2"/>
  <c r="P22" i="2"/>
  <c r="P21" i="2"/>
  <c r="P24" i="2"/>
  <c r="P20" i="2"/>
  <c r="P25" i="2"/>
  <c r="P26" i="2"/>
  <c r="P23" i="2"/>
  <c r="P9" i="2"/>
  <c r="P10" i="2"/>
  <c r="P16" i="2"/>
  <c r="P17" i="2"/>
  <c r="P18" i="2"/>
  <c r="P7" i="2"/>
  <c r="P6" i="2"/>
  <c r="P11" i="2"/>
  <c r="P8" i="2"/>
  <c r="P5" i="2"/>
  <c r="P15" i="2"/>
  <c r="P14" i="2"/>
  <c r="P13" i="2"/>
  <c r="P12" i="2"/>
  <c r="N16" i="2"/>
  <c r="N17" i="2"/>
  <c r="N18" i="2"/>
  <c r="N7" i="2"/>
  <c r="N6" i="2"/>
  <c r="N12" i="2"/>
  <c r="N13" i="2"/>
  <c r="N14" i="2"/>
  <c r="N15" i="2"/>
  <c r="N5" i="2"/>
  <c r="N8" i="2"/>
  <c r="N11" i="2"/>
  <c r="N9" i="2"/>
  <c r="N10" i="2"/>
  <c r="I62" i="2" l="1"/>
  <c r="W17" i="1" l="1"/>
  <c r="V17" i="1"/>
  <c r="U17" i="1"/>
  <c r="T17" i="1"/>
  <c r="R17" i="1"/>
  <c r="P17" i="1"/>
  <c r="N17" i="1"/>
  <c r="L17" i="1"/>
  <c r="J17" i="1"/>
  <c r="E17" i="1"/>
  <c r="AB124" i="2"/>
  <c r="W20" i="1" s="1"/>
  <c r="AA124" i="2"/>
  <c r="V20" i="1" s="1"/>
  <c r="V124" i="2"/>
  <c r="U20" i="1" s="1"/>
  <c r="S124" i="2"/>
  <c r="T20" i="1" s="1"/>
  <c r="R124" i="2"/>
  <c r="Q124" i="2"/>
  <c r="O124" i="2"/>
  <c r="R20" i="1" s="1"/>
  <c r="M124" i="2"/>
  <c r="K124" i="2"/>
  <c r="N20" i="1" s="1"/>
  <c r="J124" i="2"/>
  <c r="H124" i="2"/>
  <c r="L20" i="1" s="1"/>
  <c r="F124" i="2"/>
  <c r="J20" i="1" s="1"/>
  <c r="E20" i="1"/>
  <c r="W16" i="1"/>
  <c r="V16" i="1"/>
  <c r="U16" i="1"/>
  <c r="T16" i="1"/>
  <c r="R16" i="1"/>
  <c r="P16" i="1"/>
  <c r="N16" i="1"/>
  <c r="E16" i="1"/>
  <c r="AB119" i="2"/>
  <c r="W28" i="1" s="1"/>
  <c r="AA119" i="2"/>
  <c r="V28" i="1" s="1"/>
  <c r="S119" i="2"/>
  <c r="T28" i="1" s="1"/>
  <c r="V119" i="2"/>
  <c r="U28" i="1" s="1"/>
  <c r="R119" i="2"/>
  <c r="Q119" i="2"/>
  <c r="O119" i="2"/>
  <c r="R28" i="1" s="1"/>
  <c r="M119" i="2"/>
  <c r="K119" i="2"/>
  <c r="N28" i="1" s="1"/>
  <c r="J119" i="2"/>
  <c r="H119" i="2"/>
  <c r="L28" i="1" s="1"/>
  <c r="F119" i="2"/>
  <c r="J28" i="1" s="1"/>
  <c r="E28" i="1"/>
  <c r="AB117" i="2"/>
  <c r="W26" i="1" s="1"/>
  <c r="AA117" i="2"/>
  <c r="V26" i="1" s="1"/>
  <c r="V117" i="2"/>
  <c r="U26" i="1" s="1"/>
  <c r="S117" i="2"/>
  <c r="T26" i="1" s="1"/>
  <c r="R117" i="2"/>
  <c r="Q117" i="2"/>
  <c r="O117" i="2"/>
  <c r="R26" i="1" s="1"/>
  <c r="M117" i="2"/>
  <c r="K117" i="2"/>
  <c r="N26" i="1" s="1"/>
  <c r="J117" i="2"/>
  <c r="H117" i="2"/>
  <c r="L26" i="1" s="1"/>
  <c r="F117" i="2"/>
  <c r="J26" i="1" s="1"/>
  <c r="E26" i="1"/>
  <c r="AB115" i="2"/>
  <c r="AA115" i="2"/>
  <c r="V29" i="1" s="1"/>
  <c r="V115" i="2"/>
  <c r="U29" i="1" s="1"/>
  <c r="S115" i="2"/>
  <c r="T29" i="1" s="1"/>
  <c r="R115" i="2"/>
  <c r="Q115" i="2"/>
  <c r="O115" i="2"/>
  <c r="R29" i="1" s="1"/>
  <c r="M115" i="2"/>
  <c r="K115" i="2"/>
  <c r="J115" i="2"/>
  <c r="H115" i="2"/>
  <c r="L29" i="1" s="1"/>
  <c r="F115" i="2"/>
  <c r="J29" i="1" s="1"/>
  <c r="E29" i="1"/>
  <c r="AB111" i="2"/>
  <c r="W11" i="1" s="1"/>
  <c r="AA111" i="2"/>
  <c r="V11" i="1" s="1"/>
  <c r="V111" i="2"/>
  <c r="U11" i="1" s="1"/>
  <c r="S111" i="2"/>
  <c r="T11" i="1" s="1"/>
  <c r="R111" i="2"/>
  <c r="Q111" i="2"/>
  <c r="O111" i="2"/>
  <c r="R11" i="1" s="1"/>
  <c r="M111" i="2"/>
  <c r="K111" i="2"/>
  <c r="N11" i="1" s="1"/>
  <c r="J111" i="2"/>
  <c r="H111" i="2"/>
  <c r="L11" i="1" s="1"/>
  <c r="F111" i="2"/>
  <c r="J11" i="1" s="1"/>
  <c r="E11" i="1"/>
  <c r="W19" i="1"/>
  <c r="V19" i="1"/>
  <c r="U19" i="1"/>
  <c r="T19" i="1"/>
  <c r="R19" i="1"/>
  <c r="P19" i="1"/>
  <c r="N19" i="1"/>
  <c r="L19" i="1"/>
  <c r="J19" i="1"/>
  <c r="E19" i="1"/>
  <c r="W21" i="1"/>
  <c r="V21" i="1"/>
  <c r="U21" i="1"/>
  <c r="T21" i="1"/>
  <c r="R21" i="1"/>
  <c r="P21" i="1"/>
  <c r="N21" i="1"/>
  <c r="L21" i="1"/>
  <c r="J21" i="1"/>
  <c r="E21" i="1"/>
  <c r="AB99" i="2"/>
  <c r="AA99" i="2"/>
  <c r="V13" i="1" s="1"/>
  <c r="V99" i="2"/>
  <c r="U13" i="1" s="1"/>
  <c r="S99" i="2"/>
  <c r="T13" i="1" s="1"/>
  <c r="R99" i="2"/>
  <c r="Q99" i="2"/>
  <c r="R13" i="1"/>
  <c r="P13" i="1"/>
  <c r="N13" i="1"/>
  <c r="L13" i="1"/>
  <c r="J13" i="1"/>
  <c r="E13" i="1"/>
  <c r="AB97" i="2"/>
  <c r="W22" i="1" s="1"/>
  <c r="AA97" i="2"/>
  <c r="V22" i="1" s="1"/>
  <c r="V97" i="2"/>
  <c r="U22" i="1" s="1"/>
  <c r="S97" i="2"/>
  <c r="T22" i="1" s="1"/>
  <c r="R97" i="2"/>
  <c r="Q97" i="2"/>
  <c r="O97" i="2"/>
  <c r="R22" i="1" s="1"/>
  <c r="M97" i="2"/>
  <c r="K97" i="2"/>
  <c r="N22" i="1" s="1"/>
  <c r="J97" i="2"/>
  <c r="H97" i="2"/>
  <c r="L22" i="1" s="1"/>
  <c r="F97" i="2"/>
  <c r="J22" i="1" s="1"/>
  <c r="E22" i="1"/>
  <c r="AB95" i="2"/>
  <c r="W27" i="1" s="1"/>
  <c r="AA95" i="2"/>
  <c r="V27" i="1" s="1"/>
  <c r="V95" i="2"/>
  <c r="U27" i="1" s="1"/>
  <c r="R95" i="2"/>
  <c r="S95" i="2"/>
  <c r="T27" i="1" s="1"/>
  <c r="Q95" i="2"/>
  <c r="O95" i="2"/>
  <c r="R27" i="1" s="1"/>
  <c r="M95" i="2"/>
  <c r="K95" i="2"/>
  <c r="N27" i="1" s="1"/>
  <c r="J95" i="2"/>
  <c r="H95" i="2"/>
  <c r="L27" i="1" s="1"/>
  <c r="F95" i="2"/>
  <c r="J27" i="1" s="1"/>
  <c r="E27" i="1"/>
  <c r="AB93" i="2"/>
  <c r="W25" i="1" s="1"/>
  <c r="AA93" i="2"/>
  <c r="V25" i="1" s="1"/>
  <c r="V93" i="2"/>
  <c r="U25" i="1" s="1"/>
  <c r="S93" i="2"/>
  <c r="T25" i="1" s="1"/>
  <c r="R93" i="2"/>
  <c r="Q93" i="2"/>
  <c r="O93" i="2"/>
  <c r="R25" i="1" s="1"/>
  <c r="M93" i="2"/>
  <c r="K93" i="2"/>
  <c r="N25" i="1" s="1"/>
  <c r="J93" i="2"/>
  <c r="H93" i="2"/>
  <c r="F93" i="2"/>
  <c r="J25" i="1" s="1"/>
  <c r="E25" i="1"/>
  <c r="AB91" i="2"/>
  <c r="W24" i="1" s="1"/>
  <c r="AA91" i="2"/>
  <c r="V24" i="1" s="1"/>
  <c r="V91" i="2"/>
  <c r="U24" i="1" s="1"/>
  <c r="S91" i="2"/>
  <c r="T24" i="1" s="1"/>
  <c r="R91" i="2"/>
  <c r="Q91" i="2"/>
  <c r="O91" i="2"/>
  <c r="R24" i="1" s="1"/>
  <c r="M91" i="2"/>
  <c r="K91" i="2"/>
  <c r="N24" i="1" s="1"/>
  <c r="J91" i="2"/>
  <c r="H91" i="2"/>
  <c r="L24" i="1" s="1"/>
  <c r="F91" i="2"/>
  <c r="J24" i="1" s="1"/>
  <c r="E24" i="1"/>
  <c r="AB88" i="2"/>
  <c r="W23" i="1" s="1"/>
  <c r="AA88" i="2"/>
  <c r="V23" i="1" s="1"/>
  <c r="V88" i="2"/>
  <c r="U23" i="1" s="1"/>
  <c r="S88" i="2"/>
  <c r="T23" i="1" s="1"/>
  <c r="R88" i="2"/>
  <c r="Q88" i="2"/>
  <c r="O88" i="2"/>
  <c r="R23" i="1" s="1"/>
  <c r="M88" i="2"/>
  <c r="K88" i="2"/>
  <c r="N23" i="1" s="1"/>
  <c r="J88" i="2"/>
  <c r="H88" i="2"/>
  <c r="L23" i="1" s="1"/>
  <c r="F88" i="2"/>
  <c r="J23" i="1" s="1"/>
  <c r="E23" i="1"/>
  <c r="W18" i="1"/>
  <c r="V18" i="1"/>
  <c r="U18" i="1"/>
  <c r="T18" i="1"/>
  <c r="P18" i="1"/>
  <c r="L18" i="1"/>
  <c r="J18" i="1"/>
  <c r="E18" i="1"/>
  <c r="W15" i="1"/>
  <c r="V15" i="1"/>
  <c r="U15" i="1"/>
  <c r="T15" i="1"/>
  <c r="R15" i="1"/>
  <c r="P15" i="1"/>
  <c r="N15" i="1"/>
  <c r="L15" i="1"/>
  <c r="J15" i="1"/>
  <c r="E15" i="1"/>
  <c r="AB66" i="2"/>
  <c r="W10" i="1" s="1"/>
  <c r="AA66" i="2"/>
  <c r="V10" i="1" s="1"/>
  <c r="V66" i="2"/>
  <c r="U10" i="1" s="1"/>
  <c r="S66" i="2"/>
  <c r="T10" i="1" s="1"/>
  <c r="R66" i="2"/>
  <c r="Q66" i="2"/>
  <c r="O66" i="2"/>
  <c r="M66" i="2"/>
  <c r="K66" i="2"/>
  <c r="N10" i="1" s="1"/>
  <c r="J66" i="2"/>
  <c r="H66" i="2"/>
  <c r="L10" i="1" s="1"/>
  <c r="J10" i="1"/>
  <c r="E10" i="1"/>
  <c r="W8" i="1"/>
  <c r="V8" i="1"/>
  <c r="U8" i="1"/>
  <c r="T8" i="1"/>
  <c r="R8" i="1"/>
  <c r="P8" i="1"/>
  <c r="N8" i="1"/>
  <c r="L8" i="1"/>
  <c r="J8" i="1"/>
  <c r="AA49" i="2"/>
  <c r="S49" i="2"/>
  <c r="AA41" i="2"/>
  <c r="S41" i="2"/>
  <c r="F40" i="2"/>
  <c r="AB37" i="2"/>
  <c r="W14" i="1" s="1"/>
  <c r="AA37" i="2"/>
  <c r="V14" i="1" s="1"/>
  <c r="V37" i="2"/>
  <c r="U14" i="1" s="1"/>
  <c r="S37" i="2"/>
  <c r="T14" i="1" s="1"/>
  <c r="R37" i="2"/>
  <c r="Q37" i="2"/>
  <c r="O37" i="2"/>
  <c r="R14" i="1" s="1"/>
  <c r="M37" i="2"/>
  <c r="K37" i="2"/>
  <c r="N14" i="1" s="1"/>
  <c r="J37" i="2"/>
  <c r="H37" i="2"/>
  <c r="L14" i="1" s="1"/>
  <c r="J14" i="1"/>
  <c r="E14" i="1"/>
  <c r="W9" i="1"/>
  <c r="V9" i="1"/>
  <c r="U9" i="1"/>
  <c r="T9" i="1"/>
  <c r="R9" i="1"/>
  <c r="P9" i="1"/>
  <c r="N9" i="1"/>
  <c r="L9" i="1"/>
  <c r="J9" i="1"/>
  <c r="E9" i="1"/>
  <c r="W12" i="1"/>
  <c r="AA27" i="2"/>
  <c r="V12" i="1" s="1"/>
  <c r="U12" i="1"/>
  <c r="S27" i="2"/>
  <c r="T12" i="1" s="1"/>
  <c r="R12" i="1"/>
  <c r="P12" i="1"/>
  <c r="N12" i="1"/>
  <c r="L12" i="1"/>
  <c r="J12" i="1"/>
  <c r="W7" i="1"/>
  <c r="AA19" i="2"/>
  <c r="V7" i="1" s="1"/>
  <c r="U7" i="1"/>
  <c r="S19" i="2"/>
  <c r="T7" i="1" s="1"/>
  <c r="R7" i="1"/>
  <c r="N7" i="1"/>
  <c r="L7" i="1"/>
  <c r="J7" i="1"/>
  <c r="AA4" i="2"/>
  <c r="S4" i="2"/>
  <c r="R5" i="1"/>
  <c r="P5" i="1"/>
  <c r="N5" i="1"/>
  <c r="L5" i="1"/>
  <c r="AN93" i="2" l="1"/>
  <c r="P23" i="1"/>
  <c r="AN88" i="2"/>
  <c r="P22" i="1"/>
  <c r="AN97" i="2"/>
  <c r="P28" i="1"/>
  <c r="AN119" i="2"/>
  <c r="P27" i="1"/>
  <c r="AN95" i="2"/>
  <c r="W13" i="1"/>
  <c r="AN99" i="2"/>
  <c r="P10" i="1"/>
  <c r="AN66" i="2"/>
  <c r="P24" i="1"/>
  <c r="AN91" i="2"/>
  <c r="P11" i="1"/>
  <c r="AN111" i="2"/>
  <c r="P20" i="1"/>
  <c r="AN124" i="2"/>
  <c r="P26" i="1"/>
  <c r="AN117" i="2"/>
  <c r="P14" i="1"/>
  <c r="AN37" i="2"/>
  <c r="P29" i="1"/>
  <c r="AN115" i="2"/>
  <c r="J40" i="2"/>
  <c r="T6" i="1"/>
  <c r="T5" i="1"/>
  <c r="S2" i="2"/>
  <c r="U5" i="1"/>
  <c r="V2" i="2"/>
  <c r="J5" i="1"/>
  <c r="E5" i="1"/>
  <c r="W5" i="1"/>
  <c r="AB2" i="2"/>
  <c r="J2" i="2"/>
  <c r="V5" i="1"/>
  <c r="AA2" i="2"/>
  <c r="Q2" i="2"/>
  <c r="R2" i="2"/>
  <c r="N18" i="1"/>
  <c r="K2" i="2"/>
  <c r="R18" i="1"/>
  <c r="O2" i="2"/>
  <c r="L25" i="1"/>
  <c r="P25" i="1"/>
  <c r="V6" i="1"/>
  <c r="Q40" i="2"/>
  <c r="R40" i="2"/>
  <c r="U6" i="1"/>
  <c r="V40" i="2"/>
  <c r="W6" i="1"/>
  <c r="AB40" i="2"/>
  <c r="L95" i="2"/>
  <c r="L6" i="1"/>
  <c r="H40" i="2"/>
  <c r="I40" i="2" s="1"/>
  <c r="N6" i="1"/>
  <c r="K40" i="2"/>
  <c r="P6" i="1"/>
  <c r="M40" i="2"/>
  <c r="R6" i="1"/>
  <c r="O40" i="2"/>
  <c r="J6" i="1"/>
  <c r="P66" i="2"/>
  <c r="R10" i="1"/>
  <c r="L59" i="2"/>
  <c r="E8" i="1"/>
  <c r="I59" i="2"/>
  <c r="T4" i="1" l="1"/>
  <c r="R4" i="1"/>
  <c r="V4" i="1"/>
  <c r="W4" i="1"/>
  <c r="U4" i="1"/>
  <c r="AN40" i="2"/>
  <c r="L40" i="2"/>
  <c r="P59" i="2"/>
  <c r="N59" i="2"/>
  <c r="G59" i="2"/>
  <c r="G28" i="2"/>
  <c r="L27" i="2"/>
  <c r="G27" i="2" l="1"/>
  <c r="E12" i="1"/>
  <c r="N27" i="2"/>
  <c r="P27" i="2"/>
  <c r="I27" i="2"/>
  <c r="N31" i="2"/>
  <c r="L31" i="2"/>
  <c r="P127" i="2" l="1"/>
  <c r="N127" i="2"/>
  <c r="L127" i="2"/>
  <c r="I127" i="2"/>
  <c r="P130" i="2"/>
  <c r="P128" i="2"/>
  <c r="P129" i="2"/>
  <c r="N129" i="2"/>
  <c r="N130" i="2"/>
  <c r="N128" i="2"/>
  <c r="L130" i="2"/>
  <c r="L128" i="2"/>
  <c r="L129" i="2"/>
  <c r="I130" i="2"/>
  <c r="I128" i="2"/>
  <c r="I129" i="2"/>
  <c r="G128" i="2"/>
  <c r="G129" i="2"/>
  <c r="N29" i="1"/>
  <c r="N4" i="1" s="1"/>
  <c r="P116" i="2"/>
  <c r="P115" i="2"/>
  <c r="N116" i="2"/>
  <c r="N115" i="2"/>
  <c r="L116" i="2"/>
  <c r="P32" i="2"/>
  <c r="P29" i="2"/>
  <c r="P33" i="2"/>
  <c r="P31" i="2"/>
  <c r="P30" i="2"/>
  <c r="P28" i="2"/>
  <c r="N33" i="2"/>
  <c r="N32" i="2"/>
  <c r="N28" i="2"/>
  <c r="N29" i="2"/>
  <c r="N30" i="2"/>
  <c r="L33" i="2"/>
  <c r="L32" i="2"/>
  <c r="L28" i="2"/>
  <c r="L30" i="2"/>
  <c r="L29" i="2"/>
  <c r="I33" i="2"/>
  <c r="I32" i="2"/>
  <c r="I28" i="2"/>
  <c r="I29" i="2"/>
  <c r="I31" i="2"/>
  <c r="I30" i="2"/>
  <c r="G33" i="2"/>
  <c r="G32" i="2"/>
  <c r="G31" i="2"/>
  <c r="G30" i="2"/>
  <c r="G29" i="2"/>
  <c r="N23" i="2"/>
  <c r="N26" i="2"/>
  <c r="N25" i="2"/>
  <c r="N20" i="2"/>
  <c r="N24" i="2"/>
  <c r="N22" i="2"/>
  <c r="L23" i="2"/>
  <c r="L26" i="2"/>
  <c r="L20" i="2"/>
  <c r="L24" i="2"/>
  <c r="L22" i="2"/>
  <c r="L21" i="2"/>
  <c r="AN21" i="2" l="1"/>
  <c r="M19" i="2"/>
  <c r="AN19" i="2" s="1"/>
  <c r="G19" i="2"/>
  <c r="E7" i="1"/>
  <c r="Q29" i="1"/>
  <c r="S29" i="1"/>
  <c r="O17" i="1"/>
  <c r="M17" i="1"/>
  <c r="O29" i="1"/>
  <c r="M29" i="1"/>
  <c r="M7" i="1"/>
  <c r="Q12" i="1"/>
  <c r="M12" i="1"/>
  <c r="G127" i="2"/>
  <c r="K29" i="1"/>
  <c r="K17" i="1"/>
  <c r="S17" i="1"/>
  <c r="K12" i="1"/>
  <c r="S12" i="1"/>
  <c r="O7" i="1"/>
  <c r="N21" i="2"/>
  <c r="I19" i="2"/>
  <c r="P19" i="2"/>
  <c r="L19" i="2"/>
  <c r="S7" i="1" l="1"/>
  <c r="M2" i="2"/>
  <c r="N2" i="2" s="1"/>
  <c r="N19" i="2"/>
  <c r="P7" i="1"/>
  <c r="K7" i="1"/>
  <c r="O12" i="1"/>
  <c r="Q17" i="1"/>
  <c r="Q7" i="1" l="1"/>
  <c r="P4" i="1"/>
  <c r="P2" i="2"/>
  <c r="E6" i="1"/>
  <c r="E4" i="1" s="1"/>
  <c r="I50" i="2"/>
  <c r="G50" i="2"/>
  <c r="G40" i="2" l="1"/>
  <c r="P40" i="2"/>
  <c r="N40" i="2"/>
  <c r="P110" i="2"/>
  <c r="P109" i="2"/>
  <c r="P108" i="2"/>
  <c r="P106" i="2"/>
  <c r="P107" i="2"/>
  <c r="N110" i="2"/>
  <c r="N109" i="2"/>
  <c r="N108" i="2"/>
  <c r="N106" i="2"/>
  <c r="N107" i="2"/>
  <c r="L109" i="2"/>
  <c r="L108" i="2"/>
  <c r="L106" i="2"/>
  <c r="L107" i="2"/>
  <c r="I110" i="2"/>
  <c r="G110" i="2"/>
  <c r="S4" i="1" l="1"/>
  <c r="Q4" i="1"/>
  <c r="L124" i="2"/>
  <c r="N124" i="2"/>
  <c r="P124" i="2"/>
  <c r="P121" i="2"/>
  <c r="N121" i="2"/>
  <c r="L119" i="2"/>
  <c r="N119" i="2"/>
  <c r="P119" i="2"/>
  <c r="P117" i="2"/>
  <c r="N117" i="2"/>
  <c r="L117" i="2"/>
  <c r="L115" i="2"/>
  <c r="P111" i="2"/>
  <c r="N111" i="2"/>
  <c r="L111" i="2"/>
  <c r="L105" i="2"/>
  <c r="N105" i="2"/>
  <c r="P105" i="2"/>
  <c r="P102" i="2"/>
  <c r="N102" i="2"/>
  <c r="L102" i="2"/>
  <c r="P99" i="2"/>
  <c r="L99" i="2"/>
  <c r="N99" i="2"/>
  <c r="P97" i="2"/>
  <c r="N97" i="2"/>
  <c r="L97" i="2"/>
  <c r="P95" i="2"/>
  <c r="N95" i="2"/>
  <c r="P93" i="2"/>
  <c r="N93" i="2"/>
  <c r="L93" i="2"/>
  <c r="L91" i="2"/>
  <c r="N91" i="2"/>
  <c r="P91" i="2"/>
  <c r="P88" i="2"/>
  <c r="N88" i="2"/>
  <c r="L88" i="2"/>
  <c r="L80" i="2"/>
  <c r="N80" i="2"/>
  <c r="P80" i="2"/>
  <c r="L75" i="2"/>
  <c r="N75" i="2"/>
  <c r="P75" i="2"/>
  <c r="N66" i="2"/>
  <c r="L66" i="2"/>
  <c r="P49" i="2"/>
  <c r="N49" i="2"/>
  <c r="L49" i="2"/>
  <c r="L41" i="2"/>
  <c r="N41" i="2"/>
  <c r="P41" i="2"/>
  <c r="P37" i="2"/>
  <c r="L37" i="2"/>
  <c r="N37" i="2"/>
  <c r="P34" i="2"/>
  <c r="N34" i="2"/>
  <c r="L34" i="2"/>
  <c r="P4" i="2"/>
  <c r="N4" i="2"/>
  <c r="L4" i="2"/>
  <c r="I13" i="2"/>
  <c r="I14" i="2"/>
  <c r="I15" i="2"/>
  <c r="I5" i="2"/>
  <c r="I8" i="2"/>
  <c r="I11" i="2"/>
  <c r="I9" i="2"/>
  <c r="I10" i="2"/>
  <c r="I16" i="2"/>
  <c r="I17" i="2"/>
  <c r="I18" i="2"/>
  <c r="I7" i="2"/>
  <c r="I6" i="2"/>
  <c r="I22" i="2"/>
  <c r="I21" i="2"/>
  <c r="I24" i="2"/>
  <c r="I20" i="2"/>
  <c r="I25" i="2"/>
  <c r="I26" i="2"/>
  <c r="I23" i="2"/>
  <c r="I34" i="2"/>
  <c r="I36" i="2"/>
  <c r="I35" i="2"/>
  <c r="I37" i="2"/>
  <c r="I38" i="2"/>
  <c r="I39" i="2"/>
  <c r="I41" i="2"/>
  <c r="I44" i="2"/>
  <c r="I43" i="2"/>
  <c r="I47" i="2"/>
  <c r="I42" i="2"/>
  <c r="I45" i="2"/>
  <c r="I48" i="2"/>
  <c r="I46" i="2"/>
  <c r="I49" i="2"/>
  <c r="I54" i="2"/>
  <c r="I55" i="2"/>
  <c r="I52" i="2"/>
  <c r="I56" i="2"/>
  <c r="I53" i="2"/>
  <c r="I51" i="2"/>
  <c r="I57" i="2"/>
  <c r="I58" i="2"/>
  <c r="I60" i="2"/>
  <c r="I61" i="2"/>
  <c r="I63" i="2"/>
  <c r="I64" i="2"/>
  <c r="I66" i="2"/>
  <c r="I67" i="2"/>
  <c r="I68" i="2"/>
  <c r="I69" i="2"/>
  <c r="I70" i="2"/>
  <c r="I71" i="2"/>
  <c r="I72" i="2"/>
  <c r="I73" i="2"/>
  <c r="I74" i="2"/>
  <c r="I75" i="2"/>
  <c r="I77" i="2"/>
  <c r="I79" i="2"/>
  <c r="I76" i="2"/>
  <c r="I78" i="2"/>
  <c r="I80" i="2"/>
  <c r="I82" i="2"/>
  <c r="I83" i="2"/>
  <c r="I81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7" i="2"/>
  <c r="I106" i="2"/>
  <c r="I108" i="2"/>
  <c r="I109" i="2"/>
  <c r="I111" i="2"/>
  <c r="I112" i="2"/>
  <c r="I113" i="2"/>
  <c r="I114" i="2"/>
  <c r="I115" i="2"/>
  <c r="I116" i="2"/>
  <c r="I117" i="2"/>
  <c r="I118" i="2"/>
  <c r="I119" i="2"/>
  <c r="I120" i="2"/>
  <c r="I123" i="2"/>
  <c r="I122" i="2"/>
  <c r="I124" i="2"/>
  <c r="I125" i="2"/>
  <c r="I12" i="2"/>
  <c r="I4" i="2"/>
  <c r="G14" i="2"/>
  <c r="G15" i="2"/>
  <c r="G5" i="2"/>
  <c r="G8" i="2"/>
  <c r="G11" i="2"/>
  <c r="G9" i="2"/>
  <c r="G10" i="2"/>
  <c r="G16" i="2"/>
  <c r="G17" i="2"/>
  <c r="G18" i="2"/>
  <c r="G7" i="2"/>
  <c r="G6" i="2"/>
  <c r="G22" i="2"/>
  <c r="G21" i="2"/>
  <c r="G24" i="2"/>
  <c r="G20" i="2"/>
  <c r="G25" i="2"/>
  <c r="G26" i="2"/>
  <c r="G23" i="2"/>
  <c r="G34" i="2"/>
  <c r="G36" i="2"/>
  <c r="G35" i="2"/>
  <c r="G37" i="2"/>
  <c r="G38" i="2"/>
  <c r="G39" i="2"/>
  <c r="G41" i="2"/>
  <c r="G44" i="2"/>
  <c r="G43" i="2"/>
  <c r="G47" i="2"/>
  <c r="G42" i="2"/>
  <c r="G45" i="2"/>
  <c r="G48" i="2"/>
  <c r="G46" i="2"/>
  <c r="G49" i="2"/>
  <c r="G54" i="2"/>
  <c r="G55" i="2"/>
  <c r="G52" i="2"/>
  <c r="G56" i="2"/>
  <c r="G53" i="2"/>
  <c r="G57" i="2"/>
  <c r="G58" i="2"/>
  <c r="G62" i="2"/>
  <c r="G60" i="2"/>
  <c r="G61" i="2"/>
  <c r="G63" i="2"/>
  <c r="G64" i="2"/>
  <c r="G66" i="2"/>
  <c r="G67" i="2"/>
  <c r="G68" i="2"/>
  <c r="G69" i="2"/>
  <c r="G70" i="2"/>
  <c r="G71" i="2"/>
  <c r="G72" i="2"/>
  <c r="G73" i="2"/>
  <c r="G74" i="2"/>
  <c r="G75" i="2"/>
  <c r="G77" i="2"/>
  <c r="G79" i="2"/>
  <c r="G76" i="2"/>
  <c r="G78" i="2"/>
  <c r="G80" i="2"/>
  <c r="G82" i="2"/>
  <c r="G83" i="2"/>
  <c r="G81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7" i="2"/>
  <c r="G106" i="2"/>
  <c r="G108" i="2"/>
  <c r="G109" i="2"/>
  <c r="G111" i="2"/>
  <c r="G112" i="2"/>
  <c r="G113" i="2"/>
  <c r="G114" i="2"/>
  <c r="G115" i="2"/>
  <c r="G116" i="2"/>
  <c r="G119" i="2"/>
  <c r="G120" i="2"/>
  <c r="G123" i="2"/>
  <c r="G122" i="2"/>
  <c r="G124" i="2"/>
  <c r="G125" i="2"/>
  <c r="G130" i="2"/>
  <c r="G13" i="2"/>
  <c r="G12" i="2"/>
  <c r="K6" i="1"/>
  <c r="K8" i="1"/>
  <c r="K9" i="1"/>
  <c r="K10" i="1"/>
  <c r="K11" i="1"/>
  <c r="K13" i="1"/>
  <c r="K14" i="1"/>
  <c r="K15" i="1"/>
  <c r="K18" i="1"/>
  <c r="K19" i="1"/>
  <c r="K20" i="1"/>
  <c r="K21" i="1"/>
  <c r="K22" i="1"/>
  <c r="K23" i="1"/>
  <c r="K24" i="1"/>
  <c r="K25" i="1"/>
  <c r="K27" i="1"/>
  <c r="K28" i="1"/>
  <c r="K5" i="1"/>
  <c r="L121" i="2" l="1"/>
  <c r="L16" i="1"/>
  <c r="L4" i="1" s="1"/>
  <c r="H2" i="2"/>
  <c r="B122" i="1"/>
  <c r="B121" i="1"/>
  <c r="B120" i="1"/>
  <c r="B119" i="1"/>
  <c r="B118" i="1"/>
  <c r="B117" i="1"/>
  <c r="B116" i="1"/>
  <c r="B115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3" i="1"/>
  <c r="B42" i="1"/>
  <c r="B41" i="1"/>
  <c r="B40" i="1"/>
  <c r="B39" i="1"/>
  <c r="B38" i="1"/>
  <c r="B37" i="1"/>
  <c r="B36" i="1"/>
  <c r="B35" i="1"/>
  <c r="B34" i="1"/>
  <c r="B33" i="1"/>
  <c r="B32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5" i="1"/>
  <c r="J16" i="1" l="1"/>
  <c r="J4" i="1" s="1"/>
  <c r="F2" i="2"/>
  <c r="G2" i="2" s="1"/>
  <c r="I121" i="2"/>
  <c r="G121" i="2"/>
  <c r="L2" i="2"/>
  <c r="O4" i="1"/>
  <c r="I2" i="2" l="1"/>
  <c r="K16" i="1"/>
  <c r="K4" i="1" l="1"/>
  <c r="M4" i="1"/>
</calcChain>
</file>

<file path=xl/sharedStrings.xml><?xml version="1.0" encoding="utf-8"?>
<sst xmlns="http://schemas.openxmlformats.org/spreadsheetml/2006/main" count="1590" uniqueCount="929">
  <si>
    <t xml:space="preserve">% оплаты </t>
  </si>
  <si>
    <t xml:space="preserve">Выполнено ВСЕГО </t>
  </si>
  <si>
    <t>% выполнения</t>
  </si>
  <si>
    <t>Контракт №</t>
  </si>
  <si>
    <t>Выполнено в 2025</t>
  </si>
  <si>
    <t>Оплачено в 2025</t>
  </si>
  <si>
    <t>Выданный аванс за 2025</t>
  </si>
  <si>
    <t>Аванс по ГК</t>
  </si>
  <si>
    <t>Выданный Аванс</t>
  </si>
  <si>
    <t>Неотработанный аванс</t>
  </si>
  <si>
    <t>ВР</t>
  </si>
  <si>
    <t>Стоимость ГК</t>
  </si>
  <si>
    <t>Лимит 2026 было</t>
  </si>
  <si>
    <t>Лимит 2027 было</t>
  </si>
  <si>
    <t>СТГ</t>
  </si>
  <si>
    <t xml:space="preserve">Строительство автомобильной дороги на участке Рублевский проезд - «Новый выход на МКАД с федеральной автомобильной дороги М-1 «Беларусь»  Москва - Минск» </t>
  </si>
  <si>
    <t>19-19</t>
  </si>
  <si>
    <t>СМР</t>
  </si>
  <si>
    <t xml:space="preserve">Строительство транспортной развязки на пересечении автомобильной дороги М-10 «Россия» и улицы Репина в городе Химки Московской области  </t>
  </si>
  <si>
    <t>19-110</t>
  </si>
  <si>
    <t>Строительство участка автомобильной дороги регионального значения «Молоковское шоссе – Нижнее Мячково» в Ленинском городском округе Московской области</t>
  </si>
  <si>
    <t>22-73</t>
  </si>
  <si>
    <t>СМР+ПИР</t>
  </si>
  <si>
    <t>Строительство участка автомобильной дороги Щербинка - Федюково - Каширское шоссе (1 этап) и подъезда к ж\д станции Калинина в Ленинском городском округе Московской области</t>
  </si>
  <si>
    <t>24-54</t>
  </si>
  <si>
    <t>Строительство автомобильной дороги МКАД - аэропорт Домодедово - Коробово в Ленинском городском округе Московской области</t>
  </si>
  <si>
    <t>Реконструкция Каширского шоссе на участке км 0- км 4,4 в Ленинском районе</t>
  </si>
  <si>
    <t>22-52</t>
  </si>
  <si>
    <t xml:space="preserve">Реконструкция автомобильной дороги г.Жуковский, ул.Туполева </t>
  </si>
  <si>
    <t>Ф.2018.322600</t>
  </si>
  <si>
    <t xml:space="preserve">Реконструкция Октябрьского проспекта в г.Люберцы на участке граница г.Москвы-Егорьевское шоссе. 1 этап. От ул. Власова до путепровода через ж/д </t>
  </si>
  <si>
    <t>19-14</t>
  </si>
  <si>
    <t>Реконструкция автомобильной дороги «Лобня-аэропорт Шереметьево»</t>
  </si>
  <si>
    <t>19-111</t>
  </si>
  <si>
    <t xml:space="preserve">Строительство автомобильной дороги Подъезд к ИП Коледино в Городском округе Подольск Московской области </t>
  </si>
  <si>
    <t>24-53</t>
  </si>
  <si>
    <t>Строительство транспортно- пересадочного узла на железнодорожной станции Лесной городок в Одинцовском городском округе Московской области</t>
  </si>
  <si>
    <t>25-106</t>
  </si>
  <si>
    <t xml:space="preserve">Строительство боковых проездов а/д М-4 
«Дон» в Ленинском городском округе, го Домодедово </t>
  </si>
  <si>
    <t>25-73</t>
  </si>
  <si>
    <t>Апрелевка</t>
  </si>
  <si>
    <t>25-127</t>
  </si>
  <si>
    <t>Опалиха</t>
  </si>
  <si>
    <t>25-95</t>
  </si>
  <si>
    <t>ДИМ</t>
  </si>
  <si>
    <t>Строительство участка автомобильной дороги Мякининское шоссе до автомобильной дороги "Подъездные дороги к Комплексу зданий Административно - общественного Центра Московской области" в Одинцовском городском округе Московской области</t>
  </si>
  <si>
    <t>24-88</t>
  </si>
  <si>
    <t>Реконструкция автомобильной дороги Спиридово – «А-104 «Москва – Дмитров – Дубна» – Дмитров – МБК (с реконструкцией мостового перехода через канал им. Москвы) и автомобильной дороги по улице Профессиональная в Дмитровском городском округе Московской области</t>
  </si>
  <si>
    <t xml:space="preserve">Строительство путепровода через железную дорогу в районе платформы Быково Раменского муниципального района Московской области </t>
  </si>
  <si>
    <t>21-47</t>
  </si>
  <si>
    <t>Строительство и реконструкция проезда 4638 в городском округе Котельники Московской области</t>
  </si>
  <si>
    <t>24-81</t>
  </si>
  <si>
    <t>Строительство подъезда к мкр № 9 от ул. Сосновой в г. Одинцово, Московская область</t>
  </si>
  <si>
    <t>Строительство путепровода в створе ул. С. Морозова – пр. 30-й Казармы в г. Орехово-Зуево в Орехово-Зуевском городском округе Московской области</t>
  </si>
  <si>
    <t>25-57</t>
  </si>
  <si>
    <t>Реконструкция участка Мякининского шоссе от автомобильной дороги федерального значения М-9 "Балтия" до МКАД в Одинцовском городском округе Московской области</t>
  </si>
  <si>
    <t>24-83</t>
  </si>
  <si>
    <t>Роуд Групп</t>
  </si>
  <si>
    <t>Строительство подъезда к ИП «Новопетровское» в городском округе Истра Московской области. Этап 1</t>
  </si>
  <si>
    <t xml:space="preserve">Строительство транспортной развязки в одном уровне на пересечении автомобильных дорог М-9 «Балтия» и «Аносино-Покровское» в городском округе Истра Московской области </t>
  </si>
  <si>
    <t>25-60</t>
  </si>
  <si>
    <t>Реконструкция автомобильной дороги 
Калиново – Дракино в городском округе Серпухов Московской области</t>
  </si>
  <si>
    <t>Строительство автомобильной дороги регионального значения Волоколамкое шоссе - Нахабино в городском округе Красногорск Московской области. 1 этап</t>
  </si>
  <si>
    <t>24-76</t>
  </si>
  <si>
    <t>Строительство обхода СНТ «Кино» в районе д. Ламоново в муниципальном округе Истра Московской области</t>
  </si>
  <si>
    <t>25-75</t>
  </si>
  <si>
    <t>Строительство автомобильной дороги А-103 «Щелковское шоссе» - Черноголовка-МБК в го Черноголовка 1 этап</t>
  </si>
  <si>
    <t>25-67</t>
  </si>
  <si>
    <t>СИБАГРО</t>
  </si>
  <si>
    <t>Строительство автомобильной дороги А-104 «Москва-Дмитров- Дубна» - Рогачевское шоссе» (северный обход г.Лобни)</t>
  </si>
  <si>
    <t>Строительство подъездов к лицею им. В.И. Долгих в городском округе Истра Московской области</t>
  </si>
  <si>
    <t>22-72</t>
  </si>
  <si>
    <t>СТРОЙКОМ</t>
  </si>
  <si>
    <t>Строительство автомобильной дороги «Хлебниково-Рогачево»-«Шереметьево-1-Шереметьево-2» в городских округах Химки, Мытищи, Лобня Московской области. Этап 2</t>
  </si>
  <si>
    <t>АРКС</t>
  </si>
  <si>
    <t>Строительство автомобильной дороги Путилково-Пятницкое шоссе в городском округе Красногорск Московской области</t>
  </si>
  <si>
    <t>22-49</t>
  </si>
  <si>
    <t>Строительство автомобильной дороги «Пятницкое шоссе» на участке «Митино-ЦКАД» (Этап 1)</t>
  </si>
  <si>
    <t>22-55</t>
  </si>
  <si>
    <t>Строительство и реконструкция автомобильной дороги Пятницкое шоссе-Саврасово-М-10 «Россия» в городских округах Солнечногорск и Химки Московской области (Этап 1)</t>
  </si>
  <si>
    <t>21-46</t>
  </si>
  <si>
    <t>Строительство автомобильной дороги Пятницкое шоссе (новое направление) - Сабурово в городском округе Красногорск Московской области</t>
  </si>
  <si>
    <t>22-50</t>
  </si>
  <si>
    <t xml:space="preserve">Реконструкция автомобильной дороги Пироговское шоссе на участке от автомобильной дороги Волковское шоссе до автомобильной дороги «Виноградово-Болтино-Тарасовка»в городском округе Мытищи Московской области </t>
  </si>
  <si>
    <t>21-41</t>
  </si>
  <si>
    <t>Реконструкция Путилковского шоссе в городском округе Красногорск Московской области. 2 этап. Строительство тоннеля на пересечении Путилковского шоссе и Проектируемого проезда №6411</t>
  </si>
  <si>
    <t>21-40</t>
  </si>
  <si>
    <t xml:space="preserve">Строительство путепровода через ж/д на 1 км а/д Аникеевка - Нахабино (пл. Аникеевка) </t>
  </si>
  <si>
    <t>21-54</t>
  </si>
  <si>
    <t>МИСК</t>
  </si>
  <si>
    <t>Строительство путепровода через автомобильную дорогу федерального значения А-106 "Рублево-Успенское шоссе" в д. Раздоры Одинцовского городского округа Московской области</t>
  </si>
  <si>
    <t>22-89</t>
  </si>
  <si>
    <t xml:space="preserve">Строительство путепровода на 0+700 км автомобильной дороги Носовихинское ш. - Черное - Федурново в городском округе Балашиха Московской области </t>
  </si>
  <si>
    <t>24-64</t>
  </si>
  <si>
    <t>Строительство транспортной развязки на пересечении автомобильных дорог ул. Учительская и А-106 «Рублево-Успенское шоссе» в Одинцовском городском округе Московской области</t>
  </si>
  <si>
    <t>25-128</t>
  </si>
  <si>
    <t>Реконструкция автомобильных дорог Пироговское шоссе и Олимпийский проспект на участке от автомобильной дороги Пироговское шоссе - Свиноедово до автомобильной дороги Волковское шоссе в городском округе Мытищи Московской области. Реконструкция мостового перехода через р. Клязьма</t>
  </si>
  <si>
    <t>24-70</t>
  </si>
  <si>
    <t>Строительство путепровода в створе проектируемого проезда №4037 в городе Люберцы Московской области</t>
  </si>
  <si>
    <t>24-60</t>
  </si>
  <si>
    <t xml:space="preserve">Строительство путепровода через железнодорожные пути на перегоне между платформой Ботино и платформой Кривандино Казанского направления Московской железной дороги в деревне Новосидориха городского округа Шатура Московской области </t>
  </si>
  <si>
    <t>25-78</t>
  </si>
  <si>
    <t>Строительство и реконструкция примыканий на автомобильной дороге А-106 Рублево-Успенское шоссе км 6 (справа) с реконструкцией улично-дорожной сети д. Барвиха в Одинцовском городском округе Московской области</t>
  </si>
  <si>
    <t>ВИС</t>
  </si>
  <si>
    <t>Реконструкция автомобильной дороги «А-104 «Москва-Дмитров-Дубна»-Поведники» на участке км 0 - км 2,74 (Афанасовское шоссе)</t>
  </si>
  <si>
    <t>22-77</t>
  </si>
  <si>
    <t>Строительство путепровода на пересечении Волковского шоссе и улицы Мира в городе Мытищи Московской области</t>
  </si>
  <si>
    <t>24-61</t>
  </si>
  <si>
    <t>Реконструкция Осташковского шоссе на участке от автомобильной дороги Виноградово - Болтино - Тарасовка до автомобильной дороги Осташковское госсе - д. Ульянково в городском округе Мытищи Московской области</t>
  </si>
  <si>
    <t>24-57</t>
  </si>
  <si>
    <t>Реконструкция автомобильной дороги Носовихинское шоссе на участке от автомобильной дороги Кучино - М-7 «Волга» до автомобильной дороги Носовихинское шоссе - Агрогородок в  городском округе Балашиха Московской области</t>
  </si>
  <si>
    <t>25-51</t>
  </si>
  <si>
    <t>Реконструкция автомобильной дороги Носовихинское шоссе на участке от автомобильной дороги Кучино - М-7 «Волга» до автомобильной дороги Носовихинское шоссе - Агрогородок в  городском округе Балашиха Московской области Этап 2</t>
  </si>
  <si>
    <t>25-53</t>
  </si>
  <si>
    <t>МСУ</t>
  </si>
  <si>
    <t>Реконструкция ул. Пролетарская (на участке от ул. Маяковского до ул. Пионерская) и ул. Автозаводская (на участке от ул. Пионерская до ул. Корнилаева) в городском округе Балашиха Московской области</t>
  </si>
  <si>
    <t>Реконструкция автомобильной дороги от ул. Коммунальная от границы территории Национального парка "Лосиный остров" до ул. Калининградская городского округа Королёв Московской области</t>
  </si>
  <si>
    <t>25-74</t>
  </si>
  <si>
    <t>Реконструкция Водопроводной аллеи со строительством путепровода на пересечении с автомобильной дорогой М-8 «Холмогоры» в городском округе Мытищи Московской области</t>
  </si>
  <si>
    <t>25-61</t>
  </si>
  <si>
    <t>Строительство ул. Главная на участках от ул. Шестая до ул. Корнилаева, от Проектируемого проезда №4 до ул. Пригородная в городском округе Балашиха Московской области</t>
  </si>
  <si>
    <t>Реконструкция и строительство ул. Струве на участке от ул. Корнилаева до ул. Рождественская в городском округе Балашиха Московской области</t>
  </si>
  <si>
    <t>24-87</t>
  </si>
  <si>
    <t>Реконструкция ул. Шестая на участке от ул. Струве до ул. Главная в городском округе Балашиха Московской области</t>
  </si>
  <si>
    <t>24-86</t>
  </si>
  <si>
    <t>Строительство ул. Бояринова на участке от автомобильной дороги «Зенино - Павлино» до автомобильной дороги «Солнцево – Бутово – Видное – Каширское шоссе – Молоково – Лыткарино – Томилино –Красково – Железнодорожный» в городском округе Балашиха Московской области</t>
  </si>
  <si>
    <t xml:space="preserve">«Строительство ул. Керамическая на участке от автомобильной дороги «г. Железнодорожный, ул. Керамическая - Павлино 1» до автомобильной дороги «Солнцево – Бутово – Видное – Каширское шоссе – Молоково – Лыткарино –Томилино – Красково – Железнодорожный» в го Балашиха </t>
  </si>
  <si>
    <t>25-66</t>
  </si>
  <si>
    <t>Руслан-1</t>
  </si>
  <si>
    <t>Строительство подъезда к ТПУ Сколково в Одинцовском городском округе Московской области</t>
  </si>
  <si>
    <t>24-18</t>
  </si>
  <si>
    <t xml:space="preserve">Реконструкция улично-дорожной сети в районе ул. Спортивная в рп. Селятино в Наро-Фоминском городском округе Московской области </t>
  </si>
  <si>
    <t>25-15</t>
  </si>
  <si>
    <t>Строительство подъезда к оптово-распределительному центру "Селятино" в Наро-Фоминском городском округе Московской области</t>
  </si>
  <si>
    <t>Реконструкция ул. Гагарина в городском округе Лобня Московской области</t>
  </si>
  <si>
    <t>24-72</t>
  </si>
  <si>
    <t>Белый Раст</t>
  </si>
  <si>
    <t>Строительство автомобильной дороги Северный подъезд к городу Лобня Московской области</t>
  </si>
  <si>
    <t>24-50</t>
  </si>
  <si>
    <t>25-117</t>
  </si>
  <si>
    <t>Строительство подъезда к ВОК в городском округе Котельники Московской области</t>
  </si>
  <si>
    <t>24-74</t>
  </si>
  <si>
    <t>Строительство подъезда к школе в ЖК «Лобня-Сити» в городском округе Лобня Московской области</t>
  </si>
  <si>
    <t>24-30</t>
  </si>
  <si>
    <t>Реконструкция подъезда к парку Малевича в Одинцовском городском округе Московской области. 3 этап</t>
  </si>
  <si>
    <t>25-70</t>
  </si>
  <si>
    <t>Строительство автомобильной дороги 
Белый Раст - "Хлебниково-Рогачево" в Дмитровском городском округе Московской области. 1 этап. Строительство одноуровневой развязки на пересечении автомобильной дороги А-107 "ММК" и местного переезда вблизи д. Кузяево</t>
  </si>
  <si>
    <t>25-88</t>
  </si>
  <si>
    <t>Строительство автомобильной дороги с целью обеспечения транспортной доступности АНО «Школа «Президент» в д. Жуковка Одинцовского городского 
округа Московской области</t>
  </si>
  <si>
    <t>25-69</t>
  </si>
  <si>
    <t>Барстт</t>
  </si>
  <si>
    <t>Строительство участка улиц Гризодубовой и Анохина в г.о. Жуковский Московской области</t>
  </si>
  <si>
    <t>24-63</t>
  </si>
  <si>
    <t>Реконструкция перекрестка на ул. Жилинской в р.п. Андреевка Московской области</t>
  </si>
  <si>
    <t>24-55</t>
  </si>
  <si>
    <t>Силич</t>
  </si>
  <si>
    <t>Строительство разноуровневого пешеходного перехода через железнодорожные пути в районе улицы Кольцевая, дом 15 в городском округе Лобня Московской области</t>
  </si>
  <si>
    <t>24-26</t>
  </si>
  <si>
    <t>АНТАРЕС С</t>
  </si>
  <si>
    <t>Строительство разноуровневого пешеходного перехода через железнодорожные пути у станции Подлипки-Дачные в городском округе Королев Московской области</t>
  </si>
  <si>
    <t>25-83</t>
  </si>
  <si>
    <t>Еврострой</t>
  </si>
  <si>
    <t>Строительство подъезда к базе отдыха «Жостово» в городском округе Мытищи Московской области</t>
  </si>
  <si>
    <t>25-50</t>
  </si>
  <si>
    <t>Инжиниринг Групп</t>
  </si>
  <si>
    <t>Строительство автомобильной дороги местного значения п. Денежниково - с. Петровское в Раменском городском округе</t>
  </si>
  <si>
    <t>ЕКС</t>
  </si>
  <si>
    <t>Строительство автомобильной дороги «Северный обход г. Истры» - «Андреевское - Полевшина» в муниципальном округе Истра Московской области</t>
  </si>
  <si>
    <t>25-71</t>
  </si>
  <si>
    <t>Реконструкция путепровода над автодорогой М-5 «Урал» км 0,741 Лыткаринского шоссе в Люберецком районе Московской области</t>
  </si>
  <si>
    <t>25-77</t>
  </si>
  <si>
    <t>Забдорстрой</t>
  </si>
  <si>
    <t>Реконструкция автомобильной дороги "Бутово-Щербинка-Домодедово" в городском округе Подольск Московской области. Реконструкция транспортной раззвязки на пересечении с автомобильной дрогой М-2 "Крым" Этап 1.1</t>
  </si>
  <si>
    <t>Строительство подъезда к ЖК «Катуар» от автомобильной дороги А-104 «Москва-Дмитров-Дубна» в д. Сухарево городского округа Мытищи Московской области»</t>
  </si>
  <si>
    <t>25-62</t>
  </si>
  <si>
    <t>Магистраль</t>
  </si>
  <si>
    <t>Строительство подъезда к федеральному детскому реабилитационному центру (ФДРЦ) от ул. Высотная в городском округе Подольск Московской области</t>
  </si>
  <si>
    <t>23-49</t>
  </si>
  <si>
    <t>Реконструкция автомобильной дороги д. Сабурово в городском округе Красногорск Московской области</t>
  </si>
  <si>
    <t>24-84</t>
  </si>
  <si>
    <t>Строительство и реконструкция участка автомобильной дороги Носовихинское шоссе вблизи деревни Булгаково в Богородском городском округе Московской области</t>
  </si>
  <si>
    <t>25-91</t>
  </si>
  <si>
    <t>Реконструкция улицы Народного Ополчения в городе Красногорск Московской области. Этап 3</t>
  </si>
  <si>
    <t>25-76</t>
  </si>
  <si>
    <t>Орион</t>
  </si>
  <si>
    <t>Реконструкция автомобильной дороги М-8 «Холмогоры» - Лесные Поляны - Королев (Мытищинский район) на участке км 3 - км 5 в г.Королев</t>
  </si>
  <si>
    <t>25-68</t>
  </si>
  <si>
    <t xml:space="preserve">Реконструкция автомобильной дороги регионального значения Волоколамское шоссе - Козино - Нефедьево в городском округе Красногорск Московской области </t>
  </si>
  <si>
    <t>25-14</t>
  </si>
  <si>
    <t>Восточный въезд в ТРК «Сергиев Посад - врата Золотого кольца (транспортная развязка с путепроводом под ж.д. путями с выходом на улицы Вифанская, 1-ая Рыбная)» в г.Сергиев Посад</t>
  </si>
  <si>
    <t>25-59</t>
  </si>
  <si>
    <t>Автобаза Ильинское</t>
  </si>
  <si>
    <t>Строительство участка автомобильной дороги ПК3+00 - ПК5+00 по адресу: г.о. Красногорск, г. Красногорск, дорога от СНТ «Урожай» до а/д Аникеевка-Нахабино (до пересечения с а/д от с. Николо-Урюпино до пос. Нахабино)</t>
  </si>
  <si>
    <t>24-51</t>
  </si>
  <si>
    <t>Строй НЭС-АБ</t>
  </si>
  <si>
    <t>Реконструкция улицы Народного Ополчения в городе Красногорск Московской области. Этап 1</t>
  </si>
  <si>
    <t>23-68</t>
  </si>
  <si>
    <t>Пелискер</t>
  </si>
  <si>
    <t>Строительство надземного пешеходного перехода на пересечении автомобильных дорог Москва - Егорьевск - Тума - Касимов (МЕТК) и Красково – Коренево - Торбеево в городском округе Люберцы Московской области</t>
  </si>
  <si>
    <t>24-82</t>
  </si>
  <si>
    <t>Энергия ОМ</t>
  </si>
  <si>
    <t>Строительство автомобильной дороги А-104 «Москва-Дмитров- Дубна» - Рогачевское шоссе» (северный обход г.Лобни) Этап 1.1. путепровод</t>
  </si>
  <si>
    <t>24-19</t>
  </si>
  <si>
    <t>ДСК Автобан</t>
  </si>
  <si>
    <t xml:space="preserve">Строительство автомобильной дороги Павельцево-Ивакино в городских округах Химки, Долгопрудный Московской области </t>
  </si>
  <si>
    <t>24-71</t>
  </si>
  <si>
    <t>Мостэнергострой</t>
  </si>
  <si>
    <t>Строительство разноуровневого пешеходного перехода через железнодорожные пути в районе ЖК Рублевский в Одинцовском городском округе Московской области</t>
  </si>
  <si>
    <t>25-131</t>
  </si>
  <si>
    <t>Строительство разноуровневого пешеходного перехода через железнодорожные пути в районе улицы Баковская и улицы Вокзальная в Одинцовском городском округе Московской области</t>
  </si>
  <si>
    <t>25-132</t>
  </si>
  <si>
    <t>Строительство транспортно-пересадочного узла "Подольск" в городском округе Подольск Московской области</t>
  </si>
  <si>
    <t>25-96</t>
  </si>
  <si>
    <t>тыс. руб.</t>
  </si>
  <si>
    <t>Подрядчики</t>
  </si>
  <si>
    <t>Заключено ГК на сумму</t>
  </si>
  <si>
    <t>Кол-во объектов/ контрактов</t>
  </si>
  <si>
    <t>Средняя стоимость контракта</t>
  </si>
  <si>
    <t>Оплачено на 01.01.2026</t>
  </si>
  <si>
    <t>Процент оплаты</t>
  </si>
  <si>
    <t xml:space="preserve">Оплачено всего </t>
  </si>
  <si>
    <t>% оплаты</t>
  </si>
  <si>
    <t xml:space="preserve">Выполнено всего </t>
  </si>
  <si>
    <t>Выданный аванс всего</t>
  </si>
  <si>
    <t>% выданного аванса</t>
  </si>
  <si>
    <t>% неотработанного аванаса</t>
  </si>
  <si>
    <t>Сибагро</t>
  </si>
  <si>
    <t>Стройком</t>
  </si>
  <si>
    <t>Антарес С</t>
  </si>
  <si>
    <t>Строй НЭС АБ</t>
  </si>
  <si>
    <t>Энергия Ом</t>
  </si>
  <si>
    <t>Автобан</t>
  </si>
  <si>
    <t>АРКС+МИСК</t>
  </si>
  <si>
    <t>№</t>
  </si>
  <si>
    <t>% аванса по ГК</t>
  </si>
  <si>
    <t>Строительство подъезда к земельным участкам для многодетных семей в Раменском городском округе, городском округе Бронницы Московской области</t>
  </si>
  <si>
    <t>26-21</t>
  </si>
  <si>
    <t>Реконструкция автомобильной дороги А-106 Рублево-Успенское шоссе на участке км 0 - км 22 в Московской области для выполнения комплекса локальных мероприятий по подготовке территории строительства</t>
  </si>
  <si>
    <t>25-19</t>
  </si>
  <si>
    <t>Оплачено ВСЕГО</t>
  </si>
  <si>
    <t>Лимит 2026 текущий</t>
  </si>
  <si>
    <t>Лимит 2027 текущий</t>
  </si>
  <si>
    <t>Срок контракта</t>
  </si>
  <si>
    <t>Плановый срок ввода по ГП</t>
  </si>
  <si>
    <t>% СГ</t>
  </si>
  <si>
    <t>Плановый срок открытия</t>
  </si>
  <si>
    <t>движение запущено</t>
  </si>
  <si>
    <t>идет проект-ние</t>
  </si>
  <si>
    <t>Объекты открытия 2026</t>
  </si>
  <si>
    <t>Контрольные поручения 2026</t>
  </si>
  <si>
    <t>Контрольные поручения 2027</t>
  </si>
  <si>
    <t>Оплачено 2026</t>
  </si>
  <si>
    <t>Остаток финан-ния на 2026</t>
  </si>
  <si>
    <t>№ п/п</t>
  </si>
  <si>
    <t>секвс-ние 2026</t>
  </si>
  <si>
    <t>в т.ч. Аванс</t>
  </si>
  <si>
    <t>ВСЕГО</t>
  </si>
  <si>
    <t>% изъятия</t>
  </si>
  <si>
    <t>ППТ</t>
  </si>
  <si>
    <t>да</t>
  </si>
  <si>
    <t>нет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</si>
  <si>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</si>
  <si>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</si>
  <si>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</si>
  <si>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</si>
  <si>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</si>
  <si>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</si>
  <si>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</si>
  <si>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</si>
  <si>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</si>
  <si>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</si>
  <si>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</si>
  <si>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</si>
  <si>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</si>
  <si>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</si>
  <si>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Лимит контракта 2027 текущий</t>
  </si>
  <si>
    <t>Лимит контракта 2028 текущий</t>
  </si>
  <si>
    <t>Лимит контракта 2029 текущий</t>
  </si>
  <si>
    <t>лимит изъятия 2026</t>
  </si>
  <si>
    <t>Строительство автомобильной дороги Осташковское шоссе - д. Ульянково в Мытищинском районе Московской области</t>
  </si>
  <si>
    <t>26-22</t>
  </si>
  <si>
    <t>РЕГИОНТЕЛЕКОМСТРОЙ</t>
  </si>
  <si>
    <t>26-20</t>
  </si>
  <si>
    <t>26-27</t>
  </si>
  <si>
    <t>Строительство автомобильной дороги «Псарево-Петрово» на участке от М-4 «Дон» до транспортной развязки через ж/д пути</t>
  </si>
  <si>
    <t>Автодороги</t>
  </si>
  <si>
    <t>26-14</t>
  </si>
  <si>
    <t>ПИР</t>
  </si>
  <si>
    <t>26-45</t>
  </si>
  <si>
    <t>Реконструкция автомобильной дороги г.Жуковский, ул.Наркомвод</t>
  </si>
  <si>
    <t>Реконструкция автомобильных дорог Пироговское шоссе и Олимпийский проспект на участке от автомобильной дороги Пироговское шоссе-Свиноедово до автомобильной дороги Волковское шоссе в городском округе Мытищи Московской области. Реконструкция пересечения Пироговского шоссе и Осташковского шоссе</t>
  </si>
  <si>
    <t>ВТМ Дорпроект</t>
  </si>
  <si>
    <t>Лимит объекта 2029</t>
  </si>
  <si>
    <t>РТС</t>
  </si>
  <si>
    <t>% вып-ния</t>
  </si>
  <si>
    <t>% выдан-го аванса</t>
  </si>
  <si>
    <t>% нетработ-ого аванса</t>
  </si>
  <si>
    <t>Неотраб-ый аванс</t>
  </si>
  <si>
    <r>
      <t xml:space="preserve">Лимит ВСЕГО по </t>
    </r>
    <r>
      <rPr>
        <b/>
        <u/>
        <sz val="17"/>
        <color theme="1"/>
        <rFont val="Times New Roman"/>
        <family val="1"/>
        <charset val="204"/>
      </rPr>
      <t xml:space="preserve">объекту </t>
    </r>
    <r>
      <rPr>
        <b/>
        <sz val="17"/>
        <color theme="1"/>
        <rFont val="Times New Roman"/>
        <family val="1"/>
        <charset val="204"/>
      </rPr>
      <t>2026</t>
    </r>
  </si>
  <si>
    <r>
      <t xml:space="preserve">лимит  контракта </t>
    </r>
    <r>
      <rPr>
        <b/>
        <u/>
        <sz val="17"/>
        <color theme="1"/>
        <rFont val="Times New Roman"/>
        <family val="1"/>
        <charset val="204"/>
      </rPr>
      <t>СМР</t>
    </r>
    <r>
      <rPr>
        <b/>
        <sz val="17"/>
        <color theme="1"/>
        <rFont val="Times New Roman"/>
        <family val="1"/>
        <charset val="204"/>
      </rPr>
      <t xml:space="preserve"> 2026 текущий</t>
    </r>
  </si>
  <si>
    <r>
      <t>Лимит</t>
    </r>
    <r>
      <rPr>
        <b/>
        <u/>
        <sz val="17"/>
        <color theme="1"/>
        <rFont val="Times New Roman"/>
        <family val="1"/>
        <charset val="204"/>
      </rPr>
      <t xml:space="preserve"> объекта</t>
    </r>
    <r>
      <rPr>
        <b/>
        <sz val="17"/>
        <color theme="1"/>
        <rFont val="Times New Roman"/>
        <family val="1"/>
        <charset val="204"/>
      </rPr>
      <t xml:space="preserve"> 2027</t>
    </r>
  </si>
  <si>
    <r>
      <t>Лимит</t>
    </r>
    <r>
      <rPr>
        <b/>
        <u/>
        <sz val="17"/>
        <rFont val="Times New Roman"/>
        <family val="1"/>
        <charset val="204"/>
      </rPr>
      <t xml:space="preserve"> объекта </t>
    </r>
    <r>
      <rPr>
        <b/>
        <sz val="17"/>
        <rFont val="Times New Roman"/>
        <family val="1"/>
        <charset val="204"/>
      </rPr>
      <t>2028</t>
    </r>
  </si>
  <si>
    <t>Объекты строительства</t>
  </si>
  <si>
    <t>№ 
п/п</t>
  </si>
  <si>
    <t>Мероприятие</t>
  </si>
  <si>
    <t>ОМСУ</t>
  </si>
  <si>
    <t>Объект</t>
  </si>
  <si>
    <t xml:space="preserve">Мощность/ прирост мощности объекта дорожного  хозяйства 
</t>
  </si>
  <si>
    <t>Контракт дата заключения</t>
  </si>
  <si>
    <t>Подрядчик</t>
  </si>
  <si>
    <t>Строительная готовность 22.05., %</t>
  </si>
  <si>
    <t>Строительная готовность 29.05., %</t>
  </si>
  <si>
    <t>Динамика за неделю, %</t>
  </si>
  <si>
    <t>Кол-во рабочих</t>
  </si>
  <si>
    <t>Кол-во техники</t>
  </si>
  <si>
    <t>МОГЭ</t>
  </si>
  <si>
    <t>Статус ДПТ</t>
  </si>
  <si>
    <t>ЗУ</t>
  </si>
  <si>
    <t xml:space="preserve">Цена контракта, тыс.руб. </t>
  </si>
  <si>
    <t>Оплачено всего, тыс.руб.</t>
  </si>
  <si>
    <t>Оплачено всего, %</t>
  </si>
  <si>
    <t>Аванс, тыс.руб.</t>
  </si>
  <si>
    <t>Аванс, %</t>
  </si>
  <si>
    <t>Принято, тыс.руб.</t>
  </si>
  <si>
    <t>Принято,%</t>
  </si>
  <si>
    <t>Аванс по ГК, тыс.руб.</t>
  </si>
  <si>
    <t>Остаток аванса к оплате, тыс.руб.</t>
  </si>
  <si>
    <t>Оплата за вычетом аванса, тыс. руб.</t>
  </si>
  <si>
    <t>Оплата за вычетом аванса, %</t>
  </si>
  <si>
    <t>Оплачено 2026, тыс руб.</t>
  </si>
  <si>
    <t xml:space="preserve">Аванс 2026, тыс.руб. </t>
  </si>
  <si>
    <t>Аванс 2026, %</t>
  </si>
  <si>
    <t xml:space="preserve">Оплата за вычетом аванса 2026, тыс.руб. </t>
  </si>
  <si>
    <t>Оплата за вычетом аванса 2026, %</t>
  </si>
  <si>
    <t>Кассовый разрыв</t>
  </si>
  <si>
    <t>Срок действия ГК</t>
  </si>
  <si>
    <t>Источники финансирования</t>
  </si>
  <si>
    <t>Сроки по ГП (ввод)</t>
  </si>
  <si>
    <t>Открытие по ГП</t>
  </si>
  <si>
    <t>Стоимость объекта</t>
  </si>
  <si>
    <t>Профинансиро-
вано на 01.01.2025
(тыс. руб.)</t>
  </si>
  <si>
    <t xml:space="preserve">Остаток сметной стоимости 
до ввода </t>
  </si>
  <si>
    <t>Остаток лимитов 2026</t>
  </si>
  <si>
    <t>км</t>
  </si>
  <si>
    <t>пог. м</t>
  </si>
  <si>
    <t>ОБЪЕКТЫ ФБ/ИБК/КИК 2026</t>
  </si>
  <si>
    <t>01.10</t>
  </si>
  <si>
    <t xml:space="preserve">Лобня </t>
  </si>
  <si>
    <r>
      <t xml:space="preserve">Реконструкция автомобильной дороги «А-104 «Москва - 
Дмитров - Дубна» - Поведники» 
на участке км 0 - км 2,74 (Афанасовское шоссе)
</t>
    </r>
    <r>
      <rPr>
        <b/>
        <sz val="48"/>
        <color rgb="FFFF0000"/>
        <rFont val="Times New Roman"/>
        <family val="1"/>
        <charset val="204"/>
      </rPr>
      <t>КИК</t>
    </r>
  </si>
  <si>
    <t>№ 1/2022-77</t>
  </si>
  <si>
    <t>ООО "ПФ "ВИС"</t>
  </si>
  <si>
    <t>Утверждено</t>
  </si>
  <si>
    <t>11.01.2026</t>
  </si>
  <si>
    <t>ДФ МО</t>
  </si>
  <si>
    <t>02.07.2018-
27.12.2028</t>
  </si>
  <si>
    <t>https://zakupki.gov.ru/epz/contract/contractCard/common-info.html?reestrNumber=2502415352722000101</t>
  </si>
  <si>
    <t>2502415352722000101 пи</t>
  </si>
  <si>
    <t xml:space="preserve"> Наро-Фоминский</t>
  </si>
  <si>
    <r>
      <t xml:space="preserve">Строительство путепровода на автомобильной дороге «г.п. Апрелевка, ул. Апрелевская» у пл. Апрелевка, Наро-Фоминский го </t>
    </r>
    <r>
      <rPr>
        <b/>
        <sz val="48"/>
        <color rgb="FFFF0000"/>
        <rFont val="Times New Roman"/>
        <family val="1"/>
        <charset val="204"/>
      </rPr>
      <t>ФБ</t>
    </r>
    <r>
      <rPr>
        <sz val="48"/>
        <color theme="1"/>
        <rFont val="Times New Roman"/>
        <family val="1"/>
        <charset val="204"/>
      </rPr>
      <t xml:space="preserve">
</t>
    </r>
  </si>
  <si>
    <t>№ 1/2025-127</t>
  </si>
  <si>
    <t>АО "СТРОЙТРАНСГАЗ"</t>
  </si>
  <si>
    <t>декабрь  2020.
 Выполняется корректировка, план получения - 2 кв.2026</t>
  </si>
  <si>
    <t>15.04.2027</t>
  </si>
  <si>
    <t>ФБ 
ДФ МО</t>
  </si>
  <si>
    <t>30.07.2019-
31.12.2027</t>
  </si>
  <si>
    <t>https://zakupki.gov.ru/epz/contract/contractCard/common-info.html?reestrNumber=2502415352725000168</t>
  </si>
  <si>
    <t>2502415352725000168 пи</t>
  </si>
  <si>
    <t>Красногорск</t>
  </si>
  <si>
    <r>
      <t xml:space="preserve">Строительство путепровода 
на 0+820 км автодороги 
ул. Опалиха, г. Красногорск, 
мкр. Опалиха </t>
    </r>
    <r>
      <rPr>
        <b/>
        <sz val="48"/>
        <color rgb="FFFF0000"/>
        <rFont val="Times New Roman"/>
        <family val="1"/>
        <charset val="204"/>
      </rPr>
      <t>ФБ</t>
    </r>
    <r>
      <rPr>
        <sz val="48"/>
        <color theme="1"/>
        <rFont val="Times New Roman"/>
        <family val="1"/>
        <charset val="204"/>
      </rPr>
      <t xml:space="preserve">
</t>
    </r>
  </si>
  <si>
    <t>№ 1/2025-95</t>
  </si>
  <si>
    <t>18.01.2027</t>
  </si>
  <si>
    <t>ФБ
ДФ МО</t>
  </si>
  <si>
    <t>14.05.2019-
31.12.2027</t>
  </si>
  <si>
    <t>https://zakupki.gov.ru/epz/contract/contractCard/common-info.html?reestrNumber=2502415352725000137</t>
  </si>
  <si>
    <t>2502415352725000137 пи</t>
  </si>
  <si>
    <t xml:space="preserve">Мытищи </t>
  </si>
  <si>
    <r>
      <t xml:space="preserve">Реконструкция автомобильной дороги Пироговское шоссе 
на участке от автомобильной дороги Волковское шоссе до автомобильной дороги «Виноградово - Болтино - Тарасовка» в городском округе Мытищи Московской области </t>
    </r>
    <r>
      <rPr>
        <b/>
        <sz val="48"/>
        <color rgb="FFFF0000"/>
        <rFont val="Times New Roman"/>
        <family val="1"/>
        <charset val="204"/>
      </rPr>
      <t>ИБК</t>
    </r>
  </si>
  <si>
    <t>№ 1/2021-41</t>
  </si>
  <si>
    <t>ООО "ИФСК "АРКС"</t>
  </si>
  <si>
    <t>07.12.2021-
27.12.2028</t>
  </si>
  <si>
    <t>https://zakupki.gov.ru/epz/contract/contractCard/common-info.html?reestrNumber=2502415352721000085</t>
  </si>
  <si>
    <t>2502415352721000085 пи</t>
  </si>
  <si>
    <t xml:space="preserve">Наро-Фоминский </t>
  </si>
  <si>
    <t xml:space="preserve">Строительство подъезда к оптово-распределительному центру «Селятино» в Наро-Фоминском городском округе Московской области
</t>
  </si>
  <si>
    <t>№ 1/2025-05</t>
  </si>
  <si>
    <t>ООО ТК «РУСЛАН-1»</t>
  </si>
  <si>
    <t>На рассмотрении в МОГЭ. План получения - 02.2026</t>
  </si>
  <si>
    <t>01.02.2025 -
31.03.2028</t>
  </si>
  <si>
    <t>https://zakupki.gov.ru/epz/contract/contractCard/common-info.html?reestrNumber=2502415352725000010</t>
  </si>
  <si>
    <t>2502415352725000010 пи</t>
  </si>
  <si>
    <t xml:space="preserve">Одинцовский  </t>
  </si>
  <si>
    <t>Строительство подъезда 
к ТПУ Сколково в Одинцовском городском округе Московской области</t>
  </si>
  <si>
    <t>№ 1/2024-18</t>
  </si>
  <si>
    <t>03.05.2024 -
27.12.2028</t>
  </si>
  <si>
    <t>https://zakupki.gov.ru/epz/contract/contractCard/common-info.html?reestrNumber=2502415352724000018</t>
  </si>
  <si>
    <t>2502415352724000018 пи</t>
  </si>
  <si>
    <t>Мытищи</t>
  </si>
  <si>
    <t xml:space="preserve">Реконструкция Осташковского шоссе на участке 
от автомобильной дороги Виноградово - Болтино - Тарасовка до автомобильной дороги Осташковское шоссе -д. Ульянково в городском округе Мытищи Московской области
</t>
  </si>
  <si>
    <t>№ 1/2024-57</t>
  </si>
  <si>
    <t>26.09.2024 -
27.12.2028</t>
  </si>
  <si>
    <t>https://zakupki.gov.ru/epz/contract/contractCard/common-info.html?reestrNumber=2502415352724000077</t>
  </si>
  <si>
    <t>2502415352724000077 пи</t>
  </si>
  <si>
    <t>Строительство автомобильной дороги регионального значения Волоколамское шоссе - Нахабино в городском округе Красногорск Московской области. 1 этап</t>
  </si>
  <si>
    <t>№ 1/2024-76</t>
  </si>
  <si>
    <t>ООО "РОУД ГРУПП"</t>
  </si>
  <si>
    <t>20.11.2024 -
27.12.2028</t>
  </si>
  <si>
    <t>https://zakupki.gov.ru/epz/contract/contractCard/common-info.html?reestrNumber=2502415352724000101</t>
  </si>
  <si>
    <t>2502415352724000101 пи</t>
  </si>
  <si>
    <t>Строительство автомобильной дороги Северный подъезд 
к городу Лобня Московской области
(1 и 3 этапы)</t>
  </si>
  <si>
    <t>№ 1/2024-50</t>
  </si>
  <si>
    <t>ООО "АБЗ БЕЛЫЙ РАСТ"</t>
  </si>
  <si>
    <t>03.12.2024 -
27.12.2027</t>
  </si>
  <si>
    <t>https://zakupki.gov.ru/epz/contract/contractCard/common-info.html?reestrNumber=2502415352724000104</t>
  </si>
  <si>
    <t>2502415352724000104 пи</t>
  </si>
  <si>
    <t>Истра</t>
  </si>
  <si>
    <t xml:space="preserve">Строительство транспортной развязки в одном уровне 
на пересечении автомобильных дорог М-9 «Балтия» и «Аносино - Покровское» в городском округе Истра Московской области </t>
  </si>
  <si>
    <t xml:space="preserve">3,58731
</t>
  </si>
  <si>
    <t>№ 1/2025-60</t>
  </si>
  <si>
    <t>Работы не начаты</t>
  </si>
  <si>
    <t>июль 2026</t>
  </si>
  <si>
    <t>20.06.2022-
27.12.2027</t>
  </si>
  <si>
    <t>https://zakupki.gov.ru/epz/contract/contractCard/common-info.html?reestrNumber=2502415352725000087</t>
  </si>
  <si>
    <t>2502415352725000087 пи</t>
  </si>
  <si>
    <t>05.07</t>
  </si>
  <si>
    <t xml:space="preserve">Одинцовский </t>
  </si>
  <si>
    <t xml:space="preserve">Строительство разноуровневого пешеходного перехода через железнодорожные пути в районе ЖК Рублевский в Одинцовском городском округе Московской области
</t>
  </si>
  <si>
    <t>№ 1/2025-131</t>
  </si>
  <si>
    <t>ООО "МОСТЭНЕРГОСТРОЙ"</t>
  </si>
  <si>
    <t>01.03.23-
25.12.27</t>
  </si>
  <si>
    <t>https://zakupki.gov.ru/epz/contract/contractCard/common-info.html?reestrNumber=2502415352725000172</t>
  </si>
  <si>
    <t>2502415352725000172 пи</t>
  </si>
  <si>
    <t>02.04.</t>
  </si>
  <si>
    <t>Котельники</t>
  </si>
  <si>
    <t xml:space="preserve">Строительство и реконструкция проезда 4638 в городском округе Котельники Московской области
</t>
  </si>
  <si>
    <t>№ 1/2024-81</t>
  </si>
  <si>
    <t>АО "ДиМ"</t>
  </si>
  <si>
    <t>06.12.24-
28.02.27</t>
  </si>
  <si>
    <t>https://zakupki.gov.ru/epz/contract/contractCard/common-info.html?reestrNumber=2502415352724000105</t>
  </si>
  <si>
    <t>2502415352724000105 пи</t>
  </si>
  <si>
    <t>Балашиха</t>
  </si>
  <si>
    <t xml:space="preserve">Реконструкция ул. Шестая на участке от ул. Струве до ул. Главная в городском округе Балашиха Московской области
</t>
  </si>
  <si>
    <t>№ 1/2024-86</t>
  </si>
  <si>
    <t>АО "МСУ 1"</t>
  </si>
  <si>
    <t>План получения - 05.2026</t>
  </si>
  <si>
    <t>01.02.25 -
16.09.27</t>
  </si>
  <si>
    <t>https://zakupki.gov.ru/epz/contract/contractCard/common-info.html?reestrNumber=2502415352724000111</t>
  </si>
  <si>
    <t>2502415352724000111 пи</t>
  </si>
  <si>
    <t>Одинцовский</t>
  </si>
  <si>
    <t>Реконструкция проезда в д. Жуковка в Одинцовском городском округе Московской области</t>
  </si>
  <si>
    <t>Расторгнут 13.01.2026 
АО "МОДЦ"</t>
  </si>
  <si>
    <t>01.05.26-
28.12.26</t>
  </si>
  <si>
    <t>https://zakupki.gov.ru/epz/contract/contractCard/common-info.html?reestrNumber=3503221929923000030</t>
  </si>
  <si>
    <t>3503221929923000030 пи</t>
  </si>
  <si>
    <t>№ 1/2024-84</t>
  </si>
  <si>
    <t>ООО "МАГИСТРАЛЬ"</t>
  </si>
  <si>
    <t>12.07.2022-
27.12.2027</t>
  </si>
  <si>
    <t>https://zakupki.gov.ru/epz/contract/contractCard/common-info.html?reestrNumber=2502415352724000108</t>
  </si>
  <si>
    <t>2502415352724000108 пи</t>
  </si>
  <si>
    <t xml:space="preserve">Строительство подъезда к ВОК в городском округе Котельники Московской области
</t>
  </si>
  <si>
    <t>№ 1/2024-74</t>
  </si>
  <si>
    <t>ООО «АБЗ БЕЛЫЙ РАСТ»</t>
  </si>
  <si>
    <t>05.11.24-
11.12.27</t>
  </si>
  <si>
    <t>https://zakupki.gov.ru/epz/contract/contractCard/common-info.html?reestrNumber=2502415352724000097</t>
  </si>
  <si>
    <t>2502415352724000097 пи</t>
  </si>
  <si>
    <t xml:space="preserve">Реконструкция и строительство ул. Струве на участке от ул. Корнилаева до ул. Рождественская в городском округе Балашиха Московской области
</t>
  </si>
  <si>
    <t>№ 1/2024-87</t>
  </si>
  <si>
    <t>0% (есть изъятие)</t>
  </si>
  <si>
    <t>https://zakupki.gov.ru/epz/contract/contractCard/common-info.html?reestrNumber=2502415352724000116</t>
  </si>
  <si>
    <t>2502415352724000116 пи</t>
  </si>
  <si>
    <t xml:space="preserve">Строительство ул. Бояринова на участке от автомобильной дороги «Зенино - Павлино» до автомобильной дороги «Солнцево – Бутово – Видное – Каширское шоссе – Молоково – Лыткарино – Томилино –Красково – Железнодорожный» в городском округе Балашиха Московской области
</t>
  </si>
  <si>
    <t>№ 1/2025-12</t>
  </si>
  <si>
    <t>Работы не начаты. С 15 мая подготовительные работы. В июне выход на осн. Работы.</t>
  </si>
  <si>
    <t>Не приступали</t>
  </si>
  <si>
    <t>01.02.25 -
08.06.27</t>
  </si>
  <si>
    <t>https://zakupki.gov.ru/epz/contract/contractCard/common-info.html?reestrNumber=2502415352725000014</t>
  </si>
  <si>
    <t>2502415352725000014 пи</t>
  </si>
  <si>
    <t xml:space="preserve">Реконструкция улично-дорожной сети в районе ул. Спортивная в рп. Селятино в Наро-Фоминском городском округе Московской области 
</t>
  </si>
  <si>
    <t>№1/2025-15</t>
  </si>
  <si>
    <t>Работы не начаты. Предложения Главы убрать из ГП</t>
  </si>
  <si>
    <t>На рассмотрении в МОГЭ. План получения - 03.2026</t>
  </si>
  <si>
    <t>24.04.2025 -
31.07.2027</t>
  </si>
  <si>
    <t>https://zakupki.gov.ru/epz/contract/contractCard/common-info.html?reestrNumber=2502415352725000021</t>
  </si>
  <si>
    <t>2502415352725000021 пи</t>
  </si>
  <si>
    <t>Подольск</t>
  </si>
  <si>
    <t xml:space="preserve">Реконструкция автомобильной дороги «Бутово - Щербинка - Домодедово» в городском округе Подольск Московской области. Реконструкция транспортной развязки на пересечении 
с автомобильной дорогой М-2 «Крым» Этап 1.1
</t>
  </si>
  <si>
    <t>№ 1/2024-03</t>
  </si>
  <si>
    <t>ООО "ЗАБДОРСТРОЙ"</t>
  </si>
  <si>
    <t>15.08.2022-
27.12.2027</t>
  </si>
  <si>
    <t>https://zakupki.gov.ru/epz/contract/contractCard/common-info.html?reestrNumber=2502415352724000003</t>
  </si>
  <si>
    <t>2502415352724000003 пи</t>
  </si>
  <si>
    <t>Реконструкция улицы Народного
Ополчения в городе Красногорск Московской области. Этап 3</t>
  </si>
  <si>
    <t>№ 1/2025-76</t>
  </si>
  <si>
    <t>10.05.2025-
23.12.2027</t>
  </si>
  <si>
    <t>https://zakupki.gov.ru/epz/contract/contractCard/common-info.html?reestrNumber=2502415352725000114</t>
  </si>
  <si>
    <t>2502415352725000114 пи</t>
  </si>
  <si>
    <t>Домодедово</t>
  </si>
  <si>
    <t xml:space="preserve">Реконструкция участков дорог улицы Промышленная городского округа Домодедово от территории владения «Инвест-Недвижимость» КН 50:28:0010305:19 до въезда на автомобильную дорогу М-4 «Дон» в районе км 34+000(слева) и от владения «ЮГЦЕМСНАБ» до примыкания к автомо-бильной дороге М-4 «Дон» и дороги между земельными участками 50:28:0010305:3; 50:28:0010305:16; 50:28:0010305:77; 50:28:0000000:55863; 50:28:0010305:52;
50:28:0010305:20 с устройством въезда и выезда на автомобильную дорогу Каширское шоссе-Киселиха и дороги на
земельных участках 50:28:0000000:53305; 50:28:0000000:52374. 1 этап: реконструкция въезда на автомобильную дорогу М-4 «Дон» в районе км 34+000 (слева)
</t>
  </si>
  <si>
    <t xml:space="preserve">Расторгнут 30.01.2026 ООО "БАРСТТ" </t>
  </si>
  <si>
    <t>10.09.24-
25.12.26</t>
  </si>
  <si>
    <t>ОБЪЕКТЫ ФБ/ИБК/КИК 2027</t>
  </si>
  <si>
    <t xml:space="preserve">Ленинский  </t>
  </si>
  <si>
    <r>
      <t xml:space="preserve">Реконструкция Каширского шоссе на участке км 0 - км 4,4 в Ленинском районе
</t>
    </r>
    <r>
      <rPr>
        <b/>
        <sz val="48"/>
        <color rgb="FFFF0000"/>
        <rFont val="Times New Roman"/>
        <family val="1"/>
        <charset val="204"/>
      </rPr>
      <t>ИБК</t>
    </r>
  </si>
  <si>
    <t>№ 1/2025-06</t>
  </si>
  <si>
    <t>ООО "СТРОЙТРАНСГАЗ"</t>
  </si>
  <si>
    <t>декабрь 2023</t>
  </si>
  <si>
    <t>31.01.2028</t>
  </si>
  <si>
    <t>26.08.2014-
27.12.2029</t>
  </si>
  <si>
    <t>https://zakupki.gov.ru/epz/contract/contractCard/common-info.html?reestrNumber=2502415352722000061</t>
  </si>
  <si>
    <t>2502415352722000061 пи</t>
  </si>
  <si>
    <t>ООО "ЭНЕРГИЯ ОМ"</t>
  </si>
  <si>
    <t>2502415352725000008  пи</t>
  </si>
  <si>
    <t xml:space="preserve"> И8.01</t>
  </si>
  <si>
    <t>Сергиево-Посадский</t>
  </si>
  <si>
    <r>
      <t xml:space="preserve">Восточный въезд в ТРК «Сергиев Посад - врата Золотого кольца (транспортная развязка 
с путепроводом под ж.д. путями с выходом на улицы Вифанская, 1-ая Рыбная)» в г. Сергиев Посад </t>
    </r>
    <r>
      <rPr>
        <b/>
        <sz val="48"/>
        <color rgb="FFFF0000"/>
        <rFont val="Times New Roman"/>
        <family val="1"/>
        <charset val="204"/>
      </rPr>
      <t>ФБ</t>
    </r>
  </si>
  <si>
    <t>№ 1/2025-59</t>
  </si>
  <si>
    <t>ООО "СК "ОРИОН ПЛЮС"</t>
  </si>
  <si>
    <t>"сент.2026
НЕ ОПЛАЧЕН АВАНС ПИР. РИСКИ!"</t>
  </si>
  <si>
    <t>07.08.2017-
27.12.2027</t>
  </si>
  <si>
    <t>https://zakupki.gov.ru/epz/contract/contractCard/common-info.html?reestrNumber=2502415352725000086</t>
  </si>
  <si>
    <t>2502415352725000086 пи</t>
  </si>
  <si>
    <t xml:space="preserve"> 01.08
01.10</t>
  </si>
  <si>
    <t xml:space="preserve">Ленинский </t>
  </si>
  <si>
    <r>
      <t xml:space="preserve">Строительство автомобильной дороги регионального значения «Каширское шоссе- Молоково- Андреевское» в Ленинском муниципальном районе Московской области. Реконструкция участка автомобильной дороги «М-5 «Урал» - п. Володарского- Каширское шоссе» </t>
    </r>
    <r>
      <rPr>
        <b/>
        <sz val="48"/>
        <color rgb="FFFF0000"/>
        <rFont val="Times New Roman"/>
        <family val="1"/>
        <charset val="204"/>
      </rPr>
      <t>ИБК</t>
    </r>
  </si>
  <si>
    <t>Расторгнут 30.09.2025 
ОАО «ХОТЬКОВСКИЙ АТОМОСТ»</t>
  </si>
  <si>
    <t>ДФ МО
Остаток</t>
  </si>
  <si>
    <t>25.02.2020-
30.12.2026</t>
  </si>
  <si>
    <t>#ERROR!</t>
  </si>
  <si>
    <t>https://zakupki.gov.ru/epz/contract/contractCard/common-info.html?reestrNumber=2500000152521000836</t>
  </si>
  <si>
    <t>2500000152521000836 пи</t>
  </si>
  <si>
    <t xml:space="preserve">Реконструкция автомобильной дороги А-106 Рублево-Успенское шоссе на участке км 0 - км 22 в Московской области для выполнения комплекса локальных мероприятий 
по подготовке территории строительства
</t>
  </si>
  <si>
    <t>№1/2025-19</t>
  </si>
  <si>
    <t>АО «МИСК»</t>
  </si>
  <si>
    <t>декабрь 2024</t>
  </si>
  <si>
    <t>05.02.2024-
20.02.2028</t>
  </si>
  <si>
    <t>https://zakupki.gov.ru/epz/contract/contractCard/common-info.html?reestrNumber=2502415352725000022</t>
  </si>
  <si>
    <t>2502415352725000022 пи</t>
  </si>
  <si>
    <t>№ 1/2024-09</t>
  </si>
  <si>
    <t>01.06.2024-
27.12.2029</t>
  </si>
  <si>
    <t>https://zakupki.gov.ru/epz/contract/contractCard/common-info.html?reestrNumber=2502415352724000010</t>
  </si>
  <si>
    <t>2502415352724000010 пи</t>
  </si>
  <si>
    <t>Черноголовка</t>
  </si>
  <si>
    <t>№ 1/2025-67</t>
  </si>
  <si>
    <t>10.05.2025-
27.12.2028</t>
  </si>
  <si>
    <t>https://zakupki.gov.ru/epz/contract/contractCard/common-info.html?reestrNumber=2502415352725000100</t>
  </si>
  <si>
    <t>2502415352725000100 пи</t>
  </si>
  <si>
    <t>Реконструкция ул. Угольная 
в г.Мытищи Московской области</t>
  </si>
  <si>
    <t xml:space="preserve">Расторгнут 25.02.2026 ООО "ЗАБДОРСТРОЙ" </t>
  </si>
  <si>
    <t>27.12.2022-
30.04.2027</t>
  </si>
  <si>
    <t>https://zakupki.gov.ru/epz/contract/contractCard/common-info.html?reestrNumber=2502415352724000082</t>
  </si>
  <si>
    <t>2502415352724000082 пи</t>
  </si>
  <si>
    <t>Строительство ул. Главная на участках от ул. Шестая до ул. Корнилаева, от Проектируемого проезда №4 до 
ул. Пригородная в городском округе Балашиха Московской области</t>
  </si>
  <si>
    <t xml:space="preserve">№ 1/2025-10 </t>
  </si>
  <si>
    <t>АО "МСУ-1"</t>
  </si>
  <si>
    <t>https://zakupki.gov.ru/epz/contract/contractCard/common-info.html?reestrNumber=2502415352725000009</t>
  </si>
  <si>
    <t>2502415352725000009 пи</t>
  </si>
  <si>
    <t xml:space="preserve">Красногорск </t>
  </si>
  <si>
    <t>Строительство автомобильной дороги Пятницкое шоссе (новое направление) - Сабурово 
в городском округе Красногорск Московской области</t>
  </si>
  <si>
    <t>№ 1/2022-50</t>
  </si>
  <si>
    <t>ООО ИФСК«АРКС»</t>
  </si>
  <si>
    <t>18.07.2022-
27.12.2028</t>
  </si>
  <si>
    <t>https://zakupki.gov.ru/epz/contract/contractCard/common-info.html?reestrNumber=2502415352722000059</t>
  </si>
  <si>
    <t>2502415352722000059 пи</t>
  </si>
  <si>
    <t xml:space="preserve">Строительство разноуровневого пешеходного перехода через железнодорожные пути в районе улицы Баковская и улицы Вокзальная в Одинцовском городском округе Московской области
</t>
  </si>
  <si>
    <t>№ 1/2025-132</t>
  </si>
  <si>
    <t>https://zakupki.gov.ru/epz/contract/contractCard/common-info.html?reestrNumber=2502415352725000171</t>
  </si>
  <si>
    <t>2502415352725000171 пи</t>
  </si>
  <si>
    <t xml:space="preserve">Строительство автомобильной дороги с целью обеспечения транспортной доступности АНО «Школа «Президент» в д. Жуковка Одинцовского городского 
округа Московской области
</t>
  </si>
  <si>
    <t>№ 1/2025-69</t>
  </si>
  <si>
    <t>10.02.2026 подано заявление на ЭКУ</t>
  </si>
  <si>
    <t>30.06.25-24.12.27</t>
  </si>
  <si>
    <t>https://zakupki.gov.ru/epz/contract/contractCard/common-info.html?reestrNumber=2502415352725000102</t>
  </si>
  <si>
    <t>2502415352725000102 пи</t>
  </si>
  <si>
    <t>Королев</t>
  </si>
  <si>
    <t>№ 1/2025-83</t>
  </si>
  <si>
    <t>ООО "АНТАРЕС С"</t>
  </si>
  <si>
    <t>ОБ</t>
  </si>
  <si>
    <t>19.04.24-
30.06.27</t>
  </si>
  <si>
    <t>https://zakupki.gov.ru/epz/contract/contractCard/common-info.html?reestrNumber=2502415352725000116</t>
  </si>
  <si>
    <t>2502415352725000116 пи</t>
  </si>
  <si>
    <t xml:space="preserve">Бронницы </t>
  </si>
  <si>
    <t>Строительство подъезда к земельным
участкам для многодетных семей в Раменском городском округе, городском округе
Бронницы Московской области</t>
  </si>
  <si>
    <t>№ 1/2026-21</t>
  </si>
  <si>
    <t xml:space="preserve"> ООО "МАГИСТРАЛЬ"</t>
  </si>
  <si>
    <t>декабрь 2026</t>
  </si>
  <si>
    <t>10.03.2026-
27.12.2027</t>
  </si>
  <si>
    <t>https://zakupki.gov.ru/epz/contract/contractCard/common-info.html?reestrNumber=2502415352726000023</t>
  </si>
  <si>
    <t>2502415352726000023 пи</t>
  </si>
  <si>
    <t>Реконструкция участка автомобильной дороги по адресу: Московская область, Одинцовский район, городское поселение Одинцово, город Одинцово, проезд к дому отдыха «Полет»</t>
  </si>
  <si>
    <t>Расторгнут 02.06.2025 по соглашению сторон с АО "МОСКОВСКИЙ ОБЛАСТНОЙ ДОРОЖНЫЙ ЦЕНТР"</t>
  </si>
  <si>
    <t>05.11.2020-
27.12.2027</t>
  </si>
  <si>
    <t>01.10
02.04</t>
  </si>
  <si>
    <r>
      <t xml:space="preserve">Реконструкция подъезда к парку Малевича в Одинцовском городском округе Московской области. 3 этап </t>
    </r>
    <r>
      <rPr>
        <vertAlign val="superscript"/>
        <sz val="48"/>
        <color theme="1"/>
        <rFont val="Times New Roman"/>
        <family val="1"/>
        <charset val="204"/>
      </rPr>
      <t>2</t>
    </r>
  </si>
  <si>
    <t>№ 1/2025-70</t>
  </si>
  <si>
    <t>10.05.2025-
31.12.2025</t>
  </si>
  <si>
    <t>https://zakupki.gov.ru/epz/contract/contractCard/common-info.html?reestrNumber=2502415352725000117</t>
  </si>
  <si>
    <t>2502415352725000117 пи</t>
  </si>
  <si>
    <t>Строительство подъезда к базе отдыха 
«Жостово» в городском округе Мытищи Московской области</t>
  </si>
  <si>
    <t>№ 1/2025-50</t>
  </si>
  <si>
    <t>ООО "ЕВРОСТРОЙ"</t>
  </si>
  <si>
    <t>План получения - 2 кв.2026</t>
  </si>
  <si>
    <t>01.02.25-
30.09.27</t>
  </si>
  <si>
    <t>https://zakupki.gov.ru/epz/contract/contractCard/common-info.html?reestrNumber=2502415352725000071</t>
  </si>
  <si>
    <t>2502415352725000071 пи</t>
  </si>
  <si>
    <t xml:space="preserve">Строительство обхода СНТ «Кино» в районе д. Ламоново в муниципальном округе Истра Московской области
</t>
  </si>
  <si>
    <t>№1/2025-75</t>
  </si>
  <si>
    <t>10.05.25-03.11.27</t>
  </si>
  <si>
    <t>https://zakupki.gov.ru/epz/contract/contractCard/common-info.html?reestrNumber=2502415352725000107</t>
  </si>
  <si>
    <t>2502415352725000107 пи</t>
  </si>
  <si>
    <t xml:space="preserve">Люберцы </t>
  </si>
  <si>
    <t>Строительство путепровода 
в створе проектируемого проезда 
№ 4037 в городе Люберцы Московской области</t>
  </si>
  <si>
    <t>№ 1/2024-60</t>
  </si>
  <si>
    <t>АО "МИСК"</t>
  </si>
  <si>
    <t>октябрь 2025</t>
  </si>
  <si>
    <t>27.09.2024 -
27.12.2029</t>
  </si>
  <si>
    <t>https://zakupki.gov.ru/epz/contract/contractCard/common-info.html?reestrNumber=2502415352724000081</t>
  </si>
  <si>
    <t>2502415352724000081 пи</t>
  </si>
  <si>
    <t xml:space="preserve">Балашиха </t>
  </si>
  <si>
    <t>№ 1/2024-64</t>
  </si>
  <si>
    <t>10.10.2024-
27.12.2028</t>
  </si>
  <si>
    <t>https://zakupki.gov.ru/epz/contract/contractCard/common-info.html?reestrNumber=2502415352724000088</t>
  </si>
  <si>
    <t>2502415352724000088 пи</t>
  </si>
  <si>
    <t xml:space="preserve">Строительство путепровода на пересечении Волковского шоссе и улицы Мира в городе Мытищи Московской области </t>
  </si>
  <si>
    <t>№ 1/2024-61</t>
  </si>
  <si>
    <t>30.09.2024-
31.01.2029</t>
  </si>
  <si>
    <t>https://zakupki.gov.ru/epz/contract/contractCard/common-info.html?reestrNumber=2502415352724000083</t>
  </si>
  <si>
    <t>2502415352724000083 пи</t>
  </si>
  <si>
    <t xml:space="preserve">Строительство автомобильной дороги Каширское шоссе – д. Сапроново в Ленинском городском округе Московской области
</t>
  </si>
  <si>
    <t>Расторгнут 30.01.2026 АО "МОСКОВСКИЙ ОБЛАСТНОЙ ДОРОЖНЫЙ ЦЕНТР"</t>
  </si>
  <si>
    <t>февраль 2024</t>
  </si>
  <si>
    <t>06.02.2023-
31.05.2028</t>
  </si>
  <si>
    <t xml:space="preserve">Химки
Долгопрудный </t>
  </si>
  <si>
    <t xml:space="preserve">Строительство автомобильной дороги Павельцево - Ивакино 
в городских округах Химки, Долгопрудный Московской области </t>
  </si>
  <si>
    <t>№ 1/2024-71</t>
  </si>
  <si>
    <t>АО "ДСК "АВТОБАН"</t>
  </si>
  <si>
    <t>29.10.2024-
18.09.2028</t>
  </si>
  <si>
    <t>https://zakupki.gov.ru/epz/contract/contractCard/common-info.html?reestrNumber=2502415352724000095</t>
  </si>
  <si>
    <t>2502415352724000095 пи</t>
  </si>
  <si>
    <t xml:space="preserve">Реконструкция автомобильных дорог Пироговское шоссе 
и Олимпийский проспект 
на участке от автомобильной дороги Пироговское шоссе - Свиноедово до автомобильной дороги Волковское шоссе 
в городском округе Мытищи Московской области. Реконструкция мостового перехода через р. Клязьма
</t>
  </si>
  <si>
    <t>№ 1/2024-70</t>
  </si>
  <si>
    <t>12.08.2025. Требуется включение в ГП 3 этапа - съезд на ул. Сазонова</t>
  </si>
  <si>
    <t>Утверждено, требуется корректировка в части 3 этапа</t>
  </si>
  <si>
    <t>28.10.2024 -
16.05.2028</t>
  </si>
  <si>
    <t>https://zakupki.gov.ru/epz/contract/contractCard/common-info.html?reestrNumber=2502415352724000094</t>
  </si>
  <si>
    <t>2502415352724000094 пи</t>
  </si>
  <si>
    <t xml:space="preserve">Строительство участка автомобильной дороги Мякининское шоссе до автомобильной дороги «Подъездные дороги 
к Комплексу зданий Административно-общественного Центра Московской области» в Одинцовском городском округе Московской области
</t>
  </si>
  <si>
    <t>№ 1/2024-88</t>
  </si>
  <si>
    <t>20.07.2022-
27.12.2028</t>
  </si>
  <si>
    <t>https://zakupki.gov.ru/epz/contract/contractCard/common-info.html?reestrNumber=2502415352724000118</t>
  </si>
  <si>
    <t>2502415352724000118 пи</t>
  </si>
  <si>
    <t>Строительство транспортно пересадочного узла на железнодорожной станции Лесной городок в Одинцовском 
городском округе Московской области</t>
  </si>
  <si>
    <t>№ 1/2025-106</t>
  </si>
  <si>
    <t>01.09.2025-27.12.2028</t>
  </si>
  <si>
    <t>https://zakupki.gov.ru/epz/contract/contractCard/common-info.html?reestrNumber=2502415352725000151</t>
  </si>
  <si>
    <t>2502415352725000151 пи</t>
  </si>
  <si>
    <t>Строительство транспортно пересадочного узла "Подольск" в городском округе Подольск Московской области»</t>
  </si>
  <si>
    <t>№ 1/2025-96</t>
  </si>
  <si>
    <t>ООО «МОСТЭНЕРГОСТРОЙ»</t>
  </si>
  <si>
    <t>https://zakupki.gov.ru/epz/contract/contractCard/common-info.html?reestrNumber=2502415352725000139</t>
  </si>
  <si>
    <t>2502415352725000139 пи</t>
  </si>
  <si>
    <t xml:space="preserve">Строительство автомобильной дороги Путилково - Пятницкое шоссе в городском округе Красногорск Московской области
 </t>
  </si>
  <si>
    <t>№ 1/2022-49</t>
  </si>
  <si>
    <t>ООО ИФСК «АРКС»</t>
  </si>
  <si>
    <t>Москва
ДФ МО</t>
  </si>
  <si>
    <t>https://zakupki.gov.ru/epz/contract/contractCard/common-info.html?reestrNumber=2502415352722000058</t>
  </si>
  <si>
    <t>2502415352722000058 пи</t>
  </si>
  <si>
    <t xml:space="preserve">Богородский </t>
  </si>
  <si>
    <t>Строительство и реконструкция участка
автомобильной дороги Носовихинское шоссе вблизи деревни Булгаково в Богородском городском округе Московской области</t>
  </si>
  <si>
    <t>№ 1/2025-91</t>
  </si>
  <si>
    <t>10.05.2025 -
27.12.2028</t>
  </si>
  <si>
    <t>https://zakupki.gov.ru/epz/contract/contractCard/common-info.html?reestrNumber=2502415352725000136</t>
  </si>
  <si>
    <t>2502415352725000136 пи</t>
  </si>
  <si>
    <t>Строительство участка автомобильной дороги Щербинка - Федюково - Каширское шоссе (1 этап) и подъезда к ж/д станции Калинина 
в Ленинском городском округе Московской области</t>
  </si>
  <si>
    <t>№ 1/2024-54</t>
  </si>
  <si>
    <t>01.06.2024-
27.12.2028</t>
  </si>
  <si>
    <t>https://zakupki.gov.ru/epz/contract/contractCard/common-info.html?reestrNumber=2502415352724000076</t>
  </si>
  <si>
    <t xml:space="preserve">2502415352724000076 пи </t>
  </si>
  <si>
    <t>Строительство ул. Бояринова на участке от автомобильной дороги «Зенино – Павлино» до автомобильной дороги «Солнцево – Бутово – Видное – Каширское шоссе – Молоково – Лыкарино – Томилино – Красково – Железнодорожный» в городском округе Балашиха Московской области. 2 этап</t>
  </si>
  <si>
    <t>01.03.2026-
27.12.2028</t>
  </si>
  <si>
    <t>№ 1/2025-14</t>
  </si>
  <si>
    <t>01.02.2025 -
27.12.2028</t>
  </si>
  <si>
    <t>https://zakupki.gov.ru/epz/contract/contractCard/common-info.html?reestrNumber=2502415352725000016</t>
  </si>
  <si>
    <t>2502415352725000016 пи</t>
  </si>
  <si>
    <t>Строительство подъезда к ЖК «Катуар» от автомобильной дороги А-104 «Москва-Дмитров-Дубна» в д. Сухарево городского округа Мытищи Московской области</t>
  </si>
  <si>
    <t>№ 1/2025-62</t>
  </si>
  <si>
    <t>https://zakupki.gov.ru/epz/contract/contractCard/common-info.html?reestrNumber=2502415352725000084</t>
  </si>
  <si>
    <t>2502415352725000084 пи</t>
  </si>
  <si>
    <t>Строительство и реконструкция примыканий на автомобильной дороге А-106 Рублево-Успенское шоссе км 6 (справа) 
с реконструкцией улично-дорожной сети д. Барвиха 
в Одинцовском городском округе Московской области</t>
  </si>
  <si>
    <t>№ 1/2026-12</t>
  </si>
  <si>
    <t>Август 2026</t>
  </si>
  <si>
    <t>01.02.2026-10.10.2028</t>
  </si>
  <si>
    <t>https://zakupki.gov.ru/epz/contract/contractCard/common-info.html?reestrNumber=2502415352726000014</t>
  </si>
  <si>
    <t>2502415352726000014 пи</t>
  </si>
  <si>
    <t xml:space="preserve">Дмитровский </t>
  </si>
  <si>
    <t xml:space="preserve">Реконструкция автомобильной дороги Спиридово – «А-104 «Москва – Дмитров – Дубна» – Дмитров – МБК 
(с реконструкцией мостового перехода через канал 
им. Москвы) и автомобильной дороги по улице Профессиональная 
в Дмитровском городском округе Московской области
</t>
  </si>
  <si>
    <t xml:space="preserve">№1/2025-03 </t>
  </si>
  <si>
    <t>06.02.2023-
27.12.2029</t>
  </si>
  <si>
    <t>https://zakupki.gov.ru/epz/contract/contractCard/common-info.html?reestrNumber=2502415352725000006</t>
  </si>
  <si>
    <t>2502415352725000006 пи</t>
  </si>
  <si>
    <t xml:space="preserve">Солнечногорск </t>
  </si>
  <si>
    <t xml:space="preserve">Строительство автомобильной дороги «Пятницкое шоссе» 
на участке «Митино - ЦКАД» 
(Этап 1)
</t>
  </si>
  <si>
    <t>№ 1/2022-55</t>
  </si>
  <si>
    <t>ООО «ИФСК «АРКС»</t>
  </si>
  <si>
    <t>20.07.2022-
27.12.2029</t>
  </si>
  <si>
    <t>https://zakupki.gov.ru/epz/contract/contractCard/common-info.html?reestrNumber=2502415352722000065</t>
  </si>
  <si>
    <t xml:space="preserve"> 2502415352722000065 пи</t>
  </si>
  <si>
    <t>Ступино</t>
  </si>
  <si>
    <t>Строительство автомобильной дороги «Псарево - Петрово» 
на участке от М-4 «Дон» до транспортной развязки через ж/д пути</t>
  </si>
  <si>
    <t>№ 1/2026-27</t>
  </si>
  <si>
    <t>14.05.2018-
27.12.2029</t>
  </si>
  <si>
    <t>#REF!</t>
  </si>
  <si>
    <t>https://zakupki.gov.ru/epz/contract/contractCard/common-info.html?reestrNumber=2502415352726000036</t>
  </si>
  <si>
    <t>2502415352726000036
 пи</t>
  </si>
  <si>
    <t xml:space="preserve">Строительство транспортной развязки на пересечении автомобильных дорог ул. Учительская и А-106 «Рублево-Успенское шоссе» в Одинцовском городском округе Московской области
</t>
  </si>
  <si>
    <t>№ 1/2025-128</t>
  </si>
  <si>
    <t>август 2026</t>
  </si>
  <si>
    <t>В разработке</t>
  </si>
  <si>
    <t>01.10.2025-
27.12.2029</t>
  </si>
  <si>
    <t>https://zakupki.gov.ru/epz/contract/contractCard/common-info.html?reestrNumber=2502415352725000170</t>
  </si>
  <si>
    <t>2502415352725000170 пи</t>
  </si>
  <si>
    <t>Строительство автомобильной дороги Мытищи - МКАД в городском округе Мытищи Московской области. 1 этап</t>
  </si>
  <si>
    <t>10.05.2026-
27.12.2029</t>
  </si>
  <si>
    <t xml:space="preserve">Реконструкция Новомытищинского проспекта в городском округе Мытищи Московской области </t>
  </si>
  <si>
    <t>10.05.2029-
27.12.2029</t>
  </si>
  <si>
    <t>Строительство участка автомобильной дороги Кучино - М-7 "Волга" - Федурново от улицы Красноармейская в городе Балашиха до улицы Авиарембаза в деревне Федурново и строительства автомобильной дороги Подъезд к ст. Железнодорожная в Городском округе Балашиха Московской области. Этап 1</t>
  </si>
  <si>
    <t>01.01.2028-
25.12.2029</t>
  </si>
  <si>
    <t xml:space="preserve">Чехов </t>
  </si>
  <si>
    <t xml:space="preserve">Реконструкция существующего примыкания на км 70+621 автомобильной дороги федерального значения М-2 "Крым" для возможности проезда к деревне Чудиново и многофункциональному логистическому комплексу муниципального округа Чехов Московской области </t>
  </si>
  <si>
    <t>20.01.2029-
27.12.2029</t>
  </si>
  <si>
    <t>Солнечногорск</t>
  </si>
  <si>
    <t>Строительство автомобильной дороги "Обход д. Ожогино" в городском округе Солнечногорск Московской области</t>
  </si>
  <si>
    <t>20.01.2028-
27.12.2029</t>
  </si>
  <si>
    <t>Оставляем в ПИР</t>
  </si>
  <si>
    <t xml:space="preserve">Реконструкция автомобильной дороги Носовихинское шоссе 
на участке от автомобильной дороги Кучино - М-7 «Волга» до автомобильной дороги Носовихинское шоссе - Агрогородок в  городском округе Балашиха Московской области
</t>
  </si>
  <si>
    <t>№ 1/2025-53</t>
  </si>
  <si>
    <t>октябрь 25</t>
  </si>
  <si>
    <t>27.01.2020-
31.01.2029</t>
  </si>
  <si>
    <t>https://zakupki.gov.ru/epz/contract/contractCard/common-info.html?reestrNumber=2502415352725000075</t>
  </si>
  <si>
    <t>2502415352725000075 пи</t>
  </si>
  <si>
    <t>№ 1/2022-73</t>
  </si>
  <si>
    <t>март 2024</t>
  </si>
  <si>
    <t>24.10.2022-
27.12.2029</t>
  </si>
  <si>
    <t>https://zakupki.gov.ru/epz/contract/contractCard/common-info.html?reestrNumber=2502415352722000093</t>
  </si>
  <si>
    <t>2502415352722000093 пи</t>
  </si>
  <si>
    <t>02.04</t>
  </si>
  <si>
    <t xml:space="preserve">Орехово-Зуевский </t>
  </si>
  <si>
    <t>№ 1/2025-57</t>
  </si>
  <si>
    <t>10.05.25-15.05.29</t>
  </si>
  <si>
    <t>https://zakupki.gov.ru/epz/contract/contractCard/common-info.html?reestrNumber=2502415352725000079</t>
  </si>
  <si>
    <t>2502415352725000079 пи</t>
  </si>
  <si>
    <t>Реконструкция Водопроводной аллеи со строительством 
путепровода на пересечении с автомобильной дорогой М-8 «Холмогоры» в 
городском округе Мытищи Московской области</t>
  </si>
  <si>
    <t>№ 1/2025-61</t>
  </si>
  <si>
    <t>15.05.2025-
01.10.2029</t>
  </si>
  <si>
    <t>https://zakupki.gov.ru/epz/contract/contractCard/common-info.html?reestrNumber=2502415352725000083</t>
  </si>
  <si>
    <t>2502415352725000083 пи</t>
  </si>
  <si>
    <t xml:space="preserve">Шатура </t>
  </si>
  <si>
    <t>№ 1/2025-78</t>
  </si>
  <si>
    <t>10.05.2025-
27.12.2029</t>
  </si>
  <si>
    <t>https://zakupki.gov.ru/epz/contract/contractCard/common-info.html?reestrNumber=2502415352725000112</t>
  </si>
  <si>
    <t>2502415352725000112 пи</t>
  </si>
  <si>
    <t>Реконструкция автомобильной дороги М-8 «Холмогоры» - Лесные Поляны - Королев 
на участке км 3 - км 5 
в городском округе Королев Московской области</t>
  </si>
  <si>
    <t>1/2025-68</t>
  </si>
  <si>
    <t>05.02.2018-
27.12.2027</t>
  </si>
  <si>
    <t>https://zakupki.gov.ru/epz/contract/contractCard/common-info.html?reestrNumber=2502415352725000101</t>
  </si>
  <si>
    <t>2502415352725000101 пи</t>
  </si>
  <si>
    <t xml:space="preserve">Истра </t>
  </si>
  <si>
    <t>№ 1/2025-71</t>
  </si>
  <si>
    <t>АО "ГК "ЕКС"</t>
  </si>
  <si>
    <t>01.07.2025-13.02.2029</t>
  </si>
  <si>
    <t>https://zakupki.gov.ru/epz/contract/contractCard/common-info.html?reestrNumber=2502415352725000104</t>
  </si>
  <si>
    <t>2502415352725000104 пи</t>
  </si>
  <si>
    <t>Реконструкция автомобильной дороги 
ул. Водопроводная аллея в границах 
городского округа Мытищи до границы городского округа Королев Московской области</t>
  </si>
  <si>
    <t>15.09.2026-
27.12.2029</t>
  </si>
  <si>
    <t xml:space="preserve">Строительство ул. Керамическая на участке от автомобильной дороги «г. Железнодорожный, ул. Керамическая - Павлино 1» до автомобильной дороги «Солнцево – Бутово – Видное – Каширское шоссе – Молоково – Лыткарино –Томилино – Красково – Железнодорожный» в го Балашиха </t>
  </si>
  <si>
    <t>№ 1/2025-66</t>
  </si>
  <si>
    <t>https://zakupki.gov.ru/epz/contract/contractCard/common-info.html?reestrNumber=2502415352725000098</t>
  </si>
  <si>
    <t>2502415352725000098 пи</t>
  </si>
  <si>
    <t xml:space="preserve">Строительство боковых проездов а/д М-4 
«Дон» в Ленинском городском округе, го Домодедово 
</t>
  </si>
  <si>
    <t>№ 1/2025-73</t>
  </si>
  <si>
    <t>ноябрь 2026</t>
  </si>
  <si>
    <t>Октябрь</t>
  </si>
  <si>
    <t>https://zakupki.gov.ru/epz/contract/contractCard/common-info.html?reestrNumber=2502415352725000106</t>
  </si>
  <si>
    <t>2502415352725000106 пи</t>
  </si>
  <si>
    <t>Реконструкция ул. Московская на участке от Советского проспекта до 1-я Запрудная ул.в Одинцовском городском округе Московской области</t>
  </si>
  <si>
    <t>10.05.26-31.03.28</t>
  </si>
  <si>
    <t>Реконструкция ул. Пролетарская (на участке от ул. Маяковского до ул. Пионерская) и ул. Автозаводская (на участке от ул. Пионерская 
до ул. Корнилаева) в городском округе Балашиха Московской области</t>
  </si>
  <si>
    <t>№ 1/2025-09</t>
  </si>
  <si>
    <t>март 2026</t>
  </si>
  <si>
    <t>01.02.2025-
16.09.2027</t>
  </si>
  <si>
    <t>https://zakupki.gov.ru/epz/contract/contractCard/common-info.html?reestrNumber=2502415352725000012</t>
  </si>
  <si>
    <t xml:space="preserve"> 2502415352725000012 пи</t>
  </si>
  <si>
    <t>Раменский</t>
  </si>
  <si>
    <t>№1/2025-07</t>
  </si>
  <si>
    <t>ООО "ИНЖИНИРИНГ ГРУПП"</t>
  </si>
  <si>
    <t>декабрь 2025</t>
  </si>
  <si>
    <t>01.02.25-
10.10.27</t>
  </si>
  <si>
    <t>https://zakupki.gov.ru/epz/contract/contractCard/common-info.html?reestrNumber=2502415352725000011</t>
  </si>
  <si>
    <t>2502415352725000011 пи</t>
  </si>
  <si>
    <t>№ 1/2024-53</t>
  </si>
  <si>
    <t>26.09.2024-
27.12.2027</t>
  </si>
  <si>
    <t>https://zakupki.gov.ru/epz/contract/contractCard/common-info.html?reestrNumber=2502415352724000075</t>
  </si>
  <si>
    <t>2502415352724000075 пи</t>
  </si>
  <si>
    <t>Люберцы</t>
  </si>
  <si>
    <t>Реконструкция путепровода 
над автодорогой М-5 «Урал» 
км 0,741 Лыткаринского шоссе в Люберецком районе Московской области</t>
  </si>
  <si>
    <t xml:space="preserve"> 09.09.2025</t>
  </si>
  <si>
    <t>№ 1/2025-77</t>
  </si>
  <si>
    <t>22.07.2019-
30.11.2027</t>
  </si>
  <si>
    <t>https://zakupki.gov.ru/epz/contract/contractCard/common-info.html?reestrNumber=2502415352725000113</t>
  </si>
  <si>
    <t>2502415352725000113 пи</t>
  </si>
  <si>
    <t>Строительство пешеходного перехода 
ст. Удельная в Раменском городском округе Московской области</t>
  </si>
  <si>
    <t>01.09.24-
30.06.27</t>
  </si>
  <si>
    <t>Реконструкция автомобильной дороги ул. Коммунальная от границы территории Национального парка "Лосиный остров" до ул. Калининградская городского округа Королёв Московской области</t>
  </si>
  <si>
    <t>№ 1/2025-74</t>
  </si>
  <si>
    <t>15.06.2025-
29.08.2028</t>
  </si>
  <si>
    <t>https://zakupki.gov.ru/epz/contract/contractCard/common-info.html?reestrNumber=2502415352725000105</t>
  </si>
  <si>
    <t>2502415352725000105 пи</t>
  </si>
  <si>
    <t>Одинцово</t>
  </si>
  <si>
    <t>№ 1/2025-08</t>
  </si>
  <si>
    <t>01.02.25-
16.09.27</t>
  </si>
  <si>
    <t>https://zakupki.gov.ru/epz/contract/contractCard/common-info.html?reestrNumber=2502415352725000013</t>
  </si>
  <si>
    <t>2502415352725000013 пи</t>
  </si>
  <si>
    <t>Реконструкция перекрестка на ул. Жилинской  в р.п. Андреевка Московской области</t>
  </si>
  <si>
    <t>№ 1/2024-55</t>
  </si>
  <si>
    <t>ООО "БАРСТТ"</t>
  </si>
  <si>
    <t>27.09.2024 -
27.12.2027</t>
  </si>
  <si>
    <t>https://zakupki.gov.ru/epz/contract/contractCard/common-info.html?reestrNumber=2502415352724000080</t>
  </si>
  <si>
    <t>2502415352724000080 пи</t>
  </si>
  <si>
    <t>№ 1/2026-14</t>
  </si>
  <si>
    <t>ООО "АВТОДОРОГИ"</t>
  </si>
  <si>
    <t>Декабрь 2026</t>
  </si>
  <si>
    <t>https://zakupki.gov.ru/epz/contract/contractCard/common-info.html?reestrNumber=2502415352726000015</t>
  </si>
  <si>
    <t>2502415352726000015 пи</t>
  </si>
  <si>
    <t>Строительство автомобильной дороги от ул.Селезнева до ул.Станционная, включая мостовой переход через реку Яуза в городском округе Мытищи Московской области</t>
  </si>
  <si>
    <t>10.05.26-01.10.28</t>
  </si>
  <si>
    <t xml:space="preserve">Реконструкция Советского проспекта на участке от автомобильной дороги М-1 «Беларусь» до ул. Московская в Одинцовском городском округе Московской области </t>
  </si>
  <si>
    <t>10.05.26-24.10.27</t>
  </si>
  <si>
    <t>Дмитровский</t>
  </si>
  <si>
    <t>№1/2025-88</t>
  </si>
  <si>
    <t>https://zakupki.gov.ru/epz/contract/contractCard/common-info.html?reestrNumber=2502415352725000130</t>
  </si>
  <si>
    <t>2502415352725000130 пи</t>
  </si>
  <si>
    <t>Строительство и реконструкция участков 
автомобильной дороги А-106 Рублево-Успенское шоссе. Реконструкция автомобильной дороги A-106 Рублево-Успенское шоссе на участке км 0 - км 22 (комплекс локальных мероприятий), Московская область. Этап 5</t>
  </si>
  <si>
    <t>01.10
 И8.01</t>
  </si>
  <si>
    <t xml:space="preserve">Создание и эксплуатация автомобильной дороги общего пользования регионального значения Московской области «Москва - Егорьевск - Тума - Касимов» на участке 
от городского округа Люберцы 
до деревни Кошерово </t>
  </si>
  <si>
    <t>ФБ 
ДФ МО
Остаток</t>
  </si>
  <si>
    <t>01.08.2024 -31.12.2030</t>
  </si>
  <si>
    <t>Строительство и реконструкция автомобильной дороги Кучино – М-7 «Волга» со строительством транспортной развязки 
на пересечении с Носовихинским шоссе в городском округе Балашиха Московской области</t>
  </si>
  <si>
    <t>Остаток</t>
  </si>
  <si>
    <t>17.02.2020-
31.12.2030</t>
  </si>
  <si>
    <t>Строительство «Южного объезда» г. Истра 
с путепроводом через железную дорогу в г.о. Истра Московской области</t>
  </si>
  <si>
    <t>15.10.2015-31.12.2030</t>
  </si>
  <si>
    <t>Реконструкция автомобильной дороги «Подход к городу Подольску» (км 0,0 - км 7,0) 
в городском округе Подольск Московской области</t>
  </si>
  <si>
    <t>23.04.2012-
31.12.2030</t>
  </si>
  <si>
    <t>Реконструкция автомобильных дорог М-9 «Балтия» - Веледниково - Лешково и ММК -  Павловская Слобода - Нахабино с обходом д. Исаково 
в г.о. Истра Московской области</t>
  </si>
  <si>
    <t>19.12.2019-
31.12.2030</t>
  </si>
  <si>
    <t>Строительство автомобильной дороги «Обход г. Солнечногорска» в Солнечногорском муниципальном районе  Московской области</t>
  </si>
  <si>
    <t>23.12.2019-
31.12.2030</t>
  </si>
  <si>
    <t>Ленинский 
Домодедово</t>
  </si>
  <si>
    <t>Строительство автомобильной дороги Подъезд к д. Богданиха 
в Ленинском городском округе 
и городском округе Домодедово Московской области</t>
  </si>
  <si>
    <t>20.07.2022-
31.12.2030</t>
  </si>
  <si>
    <t xml:space="preserve">Реконструкция автомобильной дороги Балашиха-Салтыковка 
в городском округе Балашиха Московской области </t>
  </si>
  <si>
    <t>Строительство автомобильной дороги Парк «Патриот» - аэродром «Кубинка» в Одинцовском городском округе Московской области</t>
  </si>
  <si>
    <t>31.12.2030-
31.12.2030</t>
  </si>
  <si>
    <t>Коломна</t>
  </si>
  <si>
    <t>Реконструкция участка автомобильной дороги «Егорьевск – М-5 «Урал» – Старое Бобренево в Городском округе Коломна Московской области</t>
  </si>
  <si>
    <t>01.02.2026-31.12.2030</t>
  </si>
  <si>
    <t>Строительство подъезда к Инновационному центру «Сколково» от 52 км МКАД (внешняя сторона) в Одинцовском муниципальном районе</t>
  </si>
  <si>
    <t>10.05.2012-
31.12.2030</t>
  </si>
  <si>
    <t>Пушкинский</t>
  </si>
  <si>
    <t>Строительство путепровода 
на 1+500 км автодороги Братовщина - Ельдигино - ММК - Герасимиха - Рахманово</t>
  </si>
  <si>
    <t>ДФ МО 
Остаток</t>
  </si>
  <si>
    <t>02.02.2024-
31.12.2030</t>
  </si>
  <si>
    <t>Жуковский</t>
  </si>
  <si>
    <t>Реконструкция автомобильной дороги г. Жуковский, 
ул. Наркомвод</t>
  </si>
  <si>
    <t>12.03.2018-
31.12.2030</t>
  </si>
  <si>
    <t>Реконструкция участка улицы 3-го Интернационала от улицы Коломенской до
автомобильной дороги М-5 «Урал» – Коломна – М-5 «Урал» в городе Коломна
Московской области</t>
  </si>
  <si>
    <t>Реконструкция Октябрьского проспекта в г. Люберцы 
на участке граница г. Москвы - Егорьевское шоссе. 4 этап. 
От 4-го Люберецкого проезда до ул. Власова</t>
  </si>
  <si>
    <t>Реконструкция Октябрьского проспекта в г. Люберцы 
на участке граница г. Москвы - Егорьевское шоссе. 2 этап. 
От путепровода через ж/д 
до Егорьевского шоссе</t>
  </si>
  <si>
    <t xml:space="preserve">Химки </t>
  </si>
  <si>
    <t>Строительство автомобильной дороги М-10 «Россия» - Перепечино в зоне строительства новой взлетно-посадочной полосы (ВПП-3) Международного аэропорта «Шереметьево»</t>
  </si>
  <si>
    <t>03.12.2018-
31.12.2030</t>
  </si>
  <si>
    <t xml:space="preserve">Реконструкция автомобильной дороги МКАД - Дроздово - Беседы - МКАД на участке  км 0,0 – км 1,1 (реализация мероприятий по обеспечению транспортной доступности 
с.п. Развилковское Ленинского района Московской области) </t>
  </si>
  <si>
    <t>25.06.2015-
31.12.2030</t>
  </si>
  <si>
    <t>Реконструкция Октябрьского проспекта в г. Люберцы 
на участке граница г. Москвы - Егорьевское шоссе. 3 этап. 
От границы г. Москвы 
до 4-го Люберецкого проезда</t>
  </si>
  <si>
    <t>Балашиха
Реутов</t>
  </si>
  <si>
    <t xml:space="preserve">Реконструкция пересечения Носовихинского шоссе 
с проездом 4305 в городском округе Балашиха, городском округе Реутов Московской области </t>
  </si>
  <si>
    <t>24.01.2020-
31.12.2030</t>
  </si>
  <si>
    <t>Реконструкция Октябрьского проспекта в г. Люберцы 
на участке граница г. Москвы - Егорьевское шоссе. 5 этап. Реконструкция путепровода через ж/д</t>
  </si>
  <si>
    <t xml:space="preserve">Красногорск 
Солнечногорск </t>
  </si>
  <si>
    <t>Реконструкция автомобильной дороги Пятницкое шоссе - Сабурово в городских округах Солнечногорск и Красногорск Московской области</t>
  </si>
  <si>
    <t>22.07.2022-
31.12.2030</t>
  </si>
  <si>
    <t>Реконструкция а/д «М-3 «Украина» - Афанасовка - Савеловка - Могутово» с участками строительства дорог 
в обход населенных пунктов Афанасовка и Савеловка</t>
  </si>
  <si>
    <t>27.08.2018-
31.12.2030</t>
  </si>
  <si>
    <t>Реконструкция Алтуфьевского шоссе с устройством кольцевого пересечения в городском округе Мытищи Московской области</t>
  </si>
  <si>
    <t>Реконструкция участка улицы Красногвардейской вблизи автостанции Старая
Коломна в городе Коломна Московской области</t>
  </si>
  <si>
    <t>Реконструкция транспортной развязки на пересечении автомобильных дорог М-10 «Россия» и «Дубинино - Обухово», Солнечногорский район</t>
  </si>
  <si>
    <t>17.07.2018-
31.12.2030</t>
  </si>
  <si>
    <t>Реконструкция и строительство подъезда к мусоросжигательному заводу вблизи д. Хметьево 
г/п Солнечногорск</t>
  </si>
  <si>
    <t>24.09.2018-
31.12.2030</t>
  </si>
  <si>
    <t>Строительство и реконструкция автомобильной дороги 
к административному зданию ЦИОГВ в д. Раздоры 
в Одинцовском муниципальном районе Московской области</t>
  </si>
  <si>
    <t>12.11.2018-
31.12.2030</t>
  </si>
  <si>
    <t xml:space="preserve">Реконструкция автомобильной дороги на участке от ул. Садовая до ул. Алексеевская в городском округе Дзержинский Московской области </t>
  </si>
  <si>
    <t>10.05.2025-
31.12.2030</t>
  </si>
  <si>
    <t>Строительство автомобильной дороги «Зеленоград - Снегири -
М-9 «Балтия» на участке 
от автомобильной дороги ММК - Павловская Слобода - Нахабино до автомобильной дороги Рождествено - Зеленково - Лобаново в городском округе Истра Московской области</t>
  </si>
  <si>
    <t>15.04.2020-31.12.2030</t>
  </si>
  <si>
    <t>Щелково</t>
  </si>
  <si>
    <t>Реконструкция автодороги «Щелково - Фряново» - Головино - Маврино» в Щелковском муниципальном районе Московской области</t>
  </si>
  <si>
    <t>10.04.2019-
31.12.2030</t>
  </si>
  <si>
    <t xml:space="preserve">Реконструкция автомобильной дороги «Бутово - Щербинка - Домодедово» в городском округе Подольск Московской области. Реконструкция транспортной развязки на пересечении 
с автомобильной дорогой М-2 «Крым» Этап 1.2 </t>
  </si>
  <si>
    <t>Строительство транспортной развязки на пересечении автомобильных дорог Балашиха - Салтыковка и Носовихинского шоссе в городском округе Балашиха Московской области</t>
  </si>
  <si>
    <t>Строительство автомобильной дороги «Рублево - Раздоры» 
в сельском поселении Барвихинское в Одинцовском муниципального района Московской области</t>
  </si>
  <si>
    <t>05.02.2018-
31.12.2030</t>
  </si>
  <si>
    <t>Серпухов</t>
  </si>
  <si>
    <t>Реконструкция путепровода через железную дорогу 
у н.п. Лукино на автодороге «Москва - Харьков 
км 84,1 - 102,9» в Серпуховском 
районе Московской области</t>
  </si>
  <si>
    <t>19.07.2016-
31.12.2030</t>
  </si>
  <si>
    <t>Химки</t>
  </si>
  <si>
    <t>Строительство съезда с Международного шоссе на Шереметьевское шоссе в районе терминалов E и F Международного аэропорта Шереметьево г. Химки 
(1 и 2 этапы)</t>
  </si>
  <si>
    <t>17.07.2019-
31.12.2030</t>
  </si>
  <si>
    <t>Строительство подъезда к объекту по обращению 
с отходами в городском округе Химки Московской области</t>
  </si>
  <si>
    <t>11.09.2019-
31.12.2030</t>
  </si>
  <si>
    <t xml:space="preserve">Строительство подъезда к объекту по обращению 
с отходами в городском округе Ликино-Дулево Московской области  </t>
  </si>
  <si>
    <t>07.02.2019-
31.12.2030</t>
  </si>
  <si>
    <t xml:space="preserve">Рузский </t>
  </si>
  <si>
    <t>Строительство подъезда к объекту по обращению 
с отходами в Рузском городском округе Московской области</t>
  </si>
  <si>
    <t>24.08.2018-
31.12.2030</t>
  </si>
  <si>
    <t xml:space="preserve">Строительство подъезда к объекту по обращению с отходами в Наро-Фоминском городском округе Московской области (2 этап) </t>
  </si>
  <si>
    <t>27.07.2020-
31.12.2030</t>
  </si>
  <si>
    <t>Реконструкция участка автомобильной дороги 
со строительством путепровода через железнодорожные пути 
и прилегающей рабочей зоной пункта взимания платы 
по адресу: Московская область, Раменский район, автодорога 
А 102 «Подъезд к Сафоновскому переезду» в районе ж/д переезда 50 км пк 6 ж/д участка Раменское – Бронницы (перегон пл. 47 – пл. Совхоз)» Казанского направления МЖД. 1 этап. Подготовка территории строительства и переустройство инженерных коммуникаций</t>
  </si>
  <si>
    <t>30.04.2019-
27.12.2026</t>
  </si>
  <si>
    <t xml:space="preserve">Можайский </t>
  </si>
  <si>
    <t>Реконструкция участка автомобильной дороги 
со строительством путепровода через железно-дорожные пути 
и прилегающей рабочей зоной пункта взимания платы 
по адресу: Московская область, Можайский район, Можайское шоссе в районе ж/д переезда 105 км пк2 ж/д участка Дорохово - Можайск перегон пл.109 км - пл. Кукаринская Смоленского направления МЖД».1 этап. Подготовка территории строительства и переустройство инженерных коммуникаций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</si>
</sst>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-* #,##0.00\ _₽_-;\-* #,##0.00\ _₽_-;_-* &quot;-&quot;??\ _₽_-;_-@_-"/>
    <numFmt numFmtId="164" formatCode="#,##0.000"/>
    <numFmt numFmtId="165" formatCode="#,##0.0"/>
    <numFmt numFmtId="166" formatCode="dd\-mm"/>
    <numFmt numFmtId="167" formatCode="d\-m"/>
    <numFmt numFmtId="168" formatCode="_-* #,##0.00\ _₽_-;\-* #,##0.00\ _₽_-;_-* &quot;-&quot;??\ _₽_-;_-@"/>
    <numFmt numFmtId="169" formatCode="_-* #,##0.000\ _₽_-;\-* #,##0.000\ _₽_-;_-* &quot;-&quot;???\ _₽_-;_-@_-"/>
    <numFmt numFmtId="170" formatCode="0.0%"/>
    <numFmt numFmtId="171" formatCode="0.00000"/>
    <numFmt numFmtId="172" formatCode="0.000"/>
    <numFmt numFmtId="173" formatCode="dd\.mm\.yyyy"/>
    <numFmt numFmtId="174" formatCode="#\ ##0.000"/>
    <numFmt numFmtId="175" formatCode="dd\.mm\.yy"/>
    <numFmt numFmtId="176" formatCode="d\.m\.yyyy"/>
    <numFmt numFmtId="177" formatCode="#\ ##0.00000"/>
    <numFmt numFmtId="178" formatCode="d\.m\.yy"/>
    <numFmt numFmtId="179" formatCode="#\ ##0.0000"/>
    <numFmt numFmtId="180" formatCode="0.0000"/>
    <numFmt numFmtId="181" formatCode="m\.yyyy"/>
    <numFmt numFmtId="182" formatCode="mmm\-d"/>
  </numFmts>
  <fonts count="95" x14ac:knownFonts="1">
    <font>
      <sz val="10"/>
      <color rgb="FF000000"/>
      <name val="Arial"/>
      <scheme val="minor"/>
    </font>
    <font>
      <sz val="10"/>
      <color rgb="FF000000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2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Arial"/>
      <family val="2"/>
      <charset val="204"/>
      <scheme val="minor"/>
    </font>
    <font>
      <sz val="14"/>
      <color rgb="FF00FF00"/>
      <name val="Times New Roman"/>
      <family val="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sz val="20"/>
      <color theme="1"/>
      <name val="Arial"/>
      <family val="2"/>
      <charset val="204"/>
      <scheme val="minor"/>
    </font>
    <font>
      <b/>
      <sz val="20"/>
      <color theme="1"/>
      <name val="Times New Roman"/>
      <family val="1"/>
      <charset val="204"/>
    </font>
    <font>
      <sz val="2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i/>
      <sz val="14"/>
      <color theme="1"/>
      <name val="Times New Roman"/>
      <family val="1"/>
      <charset val="204"/>
    </font>
    <font>
      <i/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26"/>
      <color theme="1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31"/>
      <color rgb="FF000000"/>
      <name val="Arial"/>
      <family val="2"/>
      <charset val="204"/>
      <scheme val="minor"/>
    </font>
    <font>
      <b/>
      <sz val="31"/>
      <color theme="1"/>
      <name val="Times New Roman"/>
      <family val="1"/>
      <charset val="204"/>
    </font>
    <font>
      <sz val="31"/>
      <color rgb="FF000000"/>
      <name val="Arial"/>
      <family val="2"/>
      <charset val="204"/>
    </font>
    <font>
      <sz val="31"/>
      <color theme="1"/>
      <name val="Arial"/>
      <family val="2"/>
      <charset val="204"/>
      <scheme val="minor"/>
    </font>
    <font>
      <b/>
      <sz val="31"/>
      <color theme="1"/>
      <name val="Arial"/>
      <family val="2"/>
      <charset val="204"/>
      <scheme val="minor"/>
    </font>
    <font>
      <b/>
      <sz val="26"/>
      <name val="Times New Roman"/>
      <family val="1"/>
      <charset val="204"/>
    </font>
    <font>
      <sz val="16"/>
      <color rgb="FF000000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4"/>
      <name val="Times New Roman"/>
      <family val="1"/>
      <charset val="204"/>
    </font>
    <font>
      <sz val="14"/>
      <color theme="2" tint="-0.34998626667073579"/>
      <name val="Arial"/>
      <family val="2"/>
      <charset val="204"/>
      <scheme val="minor"/>
    </font>
    <font>
      <sz val="10"/>
      <color theme="5"/>
      <name val="Arial"/>
      <family val="2"/>
      <charset val="204"/>
      <scheme val="minor"/>
    </font>
    <font>
      <sz val="16"/>
      <name val="Times New Roman"/>
      <family val="1"/>
      <charset val="204"/>
    </font>
    <font>
      <b/>
      <sz val="24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theme="2" tint="-0.34998626667073579"/>
      <name val="Arial"/>
      <family val="2"/>
      <charset val="204"/>
      <scheme val="minor"/>
    </font>
    <font>
      <sz val="18"/>
      <color theme="1"/>
      <name val="Times New Roman"/>
      <family val="1"/>
      <charset val="204"/>
    </font>
    <font>
      <sz val="18"/>
      <name val="Times New Roman"/>
      <family val="1"/>
      <charset val="204"/>
    </font>
    <font>
      <sz val="18"/>
      <color theme="5"/>
      <name val="Times New Roman"/>
      <family val="1"/>
      <charset val="204"/>
    </font>
    <font>
      <b/>
      <sz val="17"/>
      <color theme="1"/>
      <name val="Times New Roman"/>
      <family val="1"/>
      <charset val="204"/>
    </font>
    <font>
      <b/>
      <u/>
      <sz val="17"/>
      <color theme="1"/>
      <name val="Times New Roman"/>
      <family val="1"/>
      <charset val="204"/>
    </font>
    <font>
      <b/>
      <sz val="17"/>
      <name val="Times New Roman"/>
      <family val="1"/>
      <charset val="204"/>
    </font>
    <font>
      <b/>
      <u/>
      <sz val="17"/>
      <name val="Times New Roman"/>
      <family val="1"/>
      <charset val="204"/>
    </font>
    <font>
      <sz val="17"/>
      <color theme="1"/>
      <name val="Times New Roman"/>
      <family val="1"/>
      <charset val="204"/>
    </font>
    <font>
      <sz val="17"/>
      <name val="Times New Roman"/>
      <family val="1"/>
      <charset val="204"/>
    </font>
    <font>
      <sz val="17"/>
      <color rgb="FF000000"/>
      <name val="Times New Roman"/>
      <family val="1"/>
      <charset val="204"/>
    </font>
    <font>
      <b/>
      <sz val="17"/>
      <color rgb="FF000000"/>
      <name val="Times New Roman"/>
      <family val="1"/>
      <charset val="204"/>
    </font>
    <font>
      <sz val="17"/>
      <color theme="1"/>
      <name val="Arial"/>
      <family val="2"/>
      <charset val="204"/>
    </font>
    <font>
      <sz val="17"/>
      <color rgb="FF000000"/>
      <name val="Arial"/>
      <family val="2"/>
      <charset val="204"/>
    </font>
    <font>
      <sz val="17"/>
      <color rgb="FF000000"/>
      <name val="Arial"/>
      <family val="2"/>
      <charset val="204"/>
      <scheme val="minor"/>
    </font>
    <font>
      <sz val="17"/>
      <name val="Arial"/>
      <family val="2"/>
      <charset val="204"/>
    </font>
    <font>
      <sz val="17"/>
      <color theme="1"/>
      <name val="Arial"/>
      <family val="2"/>
      <charset val="204"/>
      <scheme val="minor"/>
    </font>
    <font>
      <sz val="17"/>
      <name val="Arial"/>
      <family val="2"/>
      <charset val="204"/>
      <scheme val="minor"/>
    </font>
    <font>
      <b/>
      <sz val="17"/>
      <color theme="1"/>
      <name val="Arial"/>
      <family val="2"/>
      <charset val="204"/>
      <scheme val="minor"/>
    </font>
    <font>
      <b/>
      <sz val="72"/>
      <color theme="1"/>
      <name val="Times New Roman"/>
      <family val="1"/>
      <charset val="204"/>
    </font>
    <font>
      <sz val="40"/>
      <color theme="1"/>
      <name val="Calibri"/>
      <family val="2"/>
      <charset val="204"/>
    </font>
    <font>
      <sz val="40"/>
      <color theme="1"/>
      <name val="Arial"/>
      <family val="2"/>
      <charset val="204"/>
      <scheme val="minor"/>
    </font>
    <font>
      <b/>
      <sz val="50"/>
      <color theme="1"/>
      <name val="Times New Roman"/>
      <family val="1"/>
      <charset val="204"/>
    </font>
    <font>
      <b/>
      <sz val="40"/>
      <color theme="1"/>
      <name val="Times New Roman"/>
      <family val="1"/>
      <charset val="204"/>
    </font>
    <font>
      <b/>
      <sz val="4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b/>
      <sz val="55"/>
      <color theme="1"/>
      <name val="Times New Roman"/>
      <family val="1"/>
      <charset val="204"/>
    </font>
    <font>
      <b/>
      <sz val="24"/>
      <color theme="1"/>
      <name val="Calibri"/>
      <family val="2"/>
      <charset val="204"/>
    </font>
    <font>
      <sz val="50"/>
      <color theme="1"/>
      <name val="Times New Roman"/>
      <family val="1"/>
      <charset val="204"/>
    </font>
    <font>
      <sz val="42"/>
      <color theme="1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42"/>
      <name val="Calibri"/>
      <family val="2"/>
      <charset val="204"/>
    </font>
    <font>
      <b/>
      <sz val="42"/>
      <color theme="1"/>
      <name val="Times New Roman"/>
      <family val="1"/>
      <charset val="204"/>
    </font>
    <font>
      <sz val="42"/>
      <color theme="1"/>
      <name val="Calibri"/>
      <family val="2"/>
      <charset val="204"/>
    </font>
    <font>
      <sz val="42"/>
      <color theme="1"/>
      <name val="Arial"/>
      <family val="2"/>
      <charset val="204"/>
      <scheme val="minor"/>
    </font>
    <font>
      <sz val="50"/>
      <name val="Calibri"/>
      <family val="2"/>
      <charset val="204"/>
    </font>
    <font>
      <sz val="55"/>
      <color theme="1"/>
      <name val="Times New Roman"/>
      <family val="1"/>
      <charset val="204"/>
    </font>
    <font>
      <b/>
      <sz val="50"/>
      <color theme="1"/>
      <name val="Calibri"/>
      <family val="2"/>
      <charset val="204"/>
    </font>
    <font>
      <sz val="50"/>
      <color theme="1"/>
      <name val="Arial"/>
      <family val="2"/>
      <charset val="204"/>
      <scheme val="minor"/>
    </font>
    <font>
      <b/>
      <sz val="52"/>
      <color theme="1"/>
      <name val="Times New Roman"/>
      <family val="1"/>
      <charset val="204"/>
    </font>
    <font>
      <sz val="52"/>
      <color theme="1"/>
      <name val="Calibri"/>
      <family val="2"/>
      <charset val="204"/>
    </font>
    <font>
      <sz val="52"/>
      <color theme="1"/>
      <name val="Arial"/>
      <family val="2"/>
      <charset val="204"/>
      <scheme val="minor"/>
    </font>
    <font>
      <b/>
      <sz val="46"/>
      <color theme="1"/>
      <name val="Times New Roman"/>
      <family val="1"/>
      <charset val="204"/>
    </font>
    <font>
      <b/>
      <sz val="46"/>
      <color theme="1"/>
      <name val="Calibri"/>
      <family val="2"/>
      <charset val="204"/>
    </font>
    <font>
      <sz val="46"/>
      <color theme="1"/>
      <name val="Arial"/>
      <family val="2"/>
      <charset val="204"/>
      <scheme val="minor"/>
    </font>
    <font>
      <sz val="40"/>
      <color theme="1"/>
      <name val="Times New Roman"/>
      <family val="1"/>
      <charset val="204"/>
    </font>
    <font>
      <b/>
      <sz val="48"/>
      <color rgb="FFFF0000"/>
      <name val="Times New Roman"/>
      <family val="1"/>
      <charset val="204"/>
    </font>
    <font>
      <sz val="36"/>
      <color theme="1"/>
      <name val="Times New Roman"/>
      <family val="1"/>
      <charset val="204"/>
    </font>
    <font>
      <u/>
      <sz val="24"/>
      <color theme="10"/>
      <name val="Calibri"/>
      <family val="2"/>
      <charset val="204"/>
    </font>
    <font>
      <sz val="24"/>
      <color theme="1"/>
      <name val="Times New Roman"/>
      <family val="1"/>
      <charset val="204"/>
    </font>
    <font>
      <sz val="48"/>
      <name val="Calibri"/>
      <family val="2"/>
      <charset val="204"/>
    </font>
    <font>
      <sz val="40"/>
      <name val="Calibri"/>
      <family val="2"/>
      <charset val="204"/>
    </font>
    <font>
      <vertAlign val="superscript"/>
      <sz val="48"/>
      <color theme="1"/>
      <name val="Times New Roman"/>
      <family val="1"/>
      <charset val="204"/>
    </font>
    <font>
      <sz val="48"/>
      <color theme="1"/>
      <name val="Arial"/>
      <family val="2"/>
      <charset val="204"/>
      <scheme val="minor"/>
    </font>
    <font>
      <sz val="46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1"/>
      <color theme="1"/>
      <name val="Arial"/>
      <scheme val="minor"/>
    </font>
    <font>
      <sz val="55"/>
      <color theme="1"/>
      <name val="Arial"/>
      <family val="2"/>
      <charset val="204"/>
      <scheme val="minor"/>
    </font>
    <font>
      <sz val="36"/>
      <color theme="1"/>
      <name val="Arial"/>
      <family val="2"/>
      <charset val="204"/>
      <scheme val="minor"/>
    </font>
    <font>
      <sz val="50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 tint="-0.14999847407452621"/>
        <bgColor rgb="FFD2F1DA"/>
      </patternFill>
    </fill>
    <fill>
      <patternFill patternType="solid">
        <fgColor theme="0"/>
        <bgColor rgb="FFD2F1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C5FFFF"/>
        <bgColor rgb="FFC5FFFF"/>
      </patternFill>
    </fill>
    <fill>
      <patternFill patternType="solid">
        <fgColor rgb="FFDDF6F7"/>
        <bgColor rgb="FFDDF6F7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FBE4D5"/>
        <bgColor rgb="FFFBE4D5"/>
      </patternFill>
    </fill>
    <fill>
      <patternFill patternType="solid">
        <fgColor theme="2"/>
        <bgColor indexed="64"/>
      </patternFill>
    </fill>
    <fill>
      <patternFill patternType="solid">
        <fgColor rgb="FFFEF2CB"/>
        <bgColor rgb="FFFEF2CB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9" fontId="1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90" fillId="0" borderId="4"/>
  </cellStyleXfs>
  <cellXfs count="471">
    <xf numFmtId="0" fontId="0" fillId="0" borderId="0" xfId="0" applyFont="1" applyAlignment="1"/>
    <xf numFmtId="0" fontId="3" fillId="0" borderId="0" xfId="0" applyFont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164" fontId="3" fillId="0" borderId="0" xfId="0" applyNumberFormat="1" applyFont="1"/>
    <xf numFmtId="164" fontId="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6" fillId="3" borderId="0" xfId="0" applyFont="1" applyFill="1"/>
    <xf numFmtId="0" fontId="8" fillId="0" borderId="0" xfId="0" applyFont="1" applyAlignment="1">
      <alignment vertical="center"/>
    </xf>
    <xf numFmtId="0" fontId="9" fillId="0" borderId="0" xfId="0" applyFont="1"/>
    <xf numFmtId="0" fontId="1" fillId="0" borderId="0" xfId="0" applyFont="1" applyAlignment="1">
      <alignment horizontal="center" vertical="center"/>
    </xf>
    <xf numFmtId="0" fontId="10" fillId="0" borderId="0" xfId="0" applyFont="1" applyAlignment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4" xfId="0" applyFont="1" applyBorder="1" applyAlignment="1"/>
    <xf numFmtId="0" fontId="13" fillId="0" borderId="4" xfId="0" applyFont="1" applyBorder="1" applyAlignment="1">
      <alignment vertical="center"/>
    </xf>
    <xf numFmtId="164" fontId="14" fillId="0" borderId="4" xfId="0" applyNumberFormat="1" applyFont="1" applyBorder="1" applyAlignment="1">
      <alignment horizontal="center" vertical="center"/>
    </xf>
    <xf numFmtId="0" fontId="15" fillId="0" borderId="4" xfId="0" applyFont="1" applyBorder="1"/>
    <xf numFmtId="164" fontId="3" fillId="0" borderId="4" xfId="0" applyNumberFormat="1" applyFont="1" applyBorder="1"/>
    <xf numFmtId="4" fontId="3" fillId="0" borderId="4" xfId="0" applyNumberFormat="1" applyFont="1" applyBorder="1"/>
    <xf numFmtId="164" fontId="5" fillId="0" borderId="7" xfId="0" applyNumberFormat="1" applyFont="1" applyBorder="1" applyAlignment="1">
      <alignment horizontal="center" vertical="center"/>
    </xf>
    <xf numFmtId="169" fontId="1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3" fontId="17" fillId="4" borderId="1" xfId="0" applyNumberFormat="1" applyFont="1" applyFill="1" applyBorder="1" applyAlignment="1">
      <alignment horizontal="center" vertical="center" wrapText="1"/>
    </xf>
    <xf numFmtId="9" fontId="17" fillId="4" borderId="1" xfId="1" applyFont="1" applyFill="1" applyBorder="1" applyAlignment="1">
      <alignment horizontal="center" vertical="center" wrapText="1"/>
    </xf>
    <xf numFmtId="9" fontId="17" fillId="4" borderId="1" xfId="0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10" fontId="18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9" fontId="18" fillId="0" borderId="1" xfId="1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0" fontId="19" fillId="0" borderId="0" xfId="0" applyFont="1" applyAlignment="1"/>
    <xf numFmtId="0" fontId="20" fillId="0" borderId="0" xfId="0" applyFont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2" fillId="3" borderId="0" xfId="0" applyFont="1" applyFill="1"/>
    <xf numFmtId="0" fontId="23" fillId="0" borderId="0" xfId="0" applyFont="1"/>
    <xf numFmtId="9" fontId="18" fillId="8" borderId="1" xfId="1" applyFont="1" applyFill="1" applyBorder="1" applyAlignment="1">
      <alignment horizontal="center" vertical="center" wrapText="1"/>
    </xf>
    <xf numFmtId="9" fontId="18" fillId="8" borderId="1" xfId="0" applyNumberFormat="1" applyFont="1" applyFill="1" applyBorder="1" applyAlignment="1">
      <alignment horizontal="center" vertical="center" wrapText="1"/>
    </xf>
    <xf numFmtId="0" fontId="3" fillId="8" borderId="0" xfId="0" applyFont="1" applyFill="1" applyAlignment="1">
      <alignment vertical="center"/>
    </xf>
    <xf numFmtId="164" fontId="5" fillId="8" borderId="7" xfId="0" applyNumberFormat="1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164" fontId="18" fillId="8" borderId="1" xfId="0" applyNumberFormat="1" applyFont="1" applyFill="1" applyBorder="1" applyAlignment="1">
      <alignment horizontal="center" vertical="center"/>
    </xf>
    <xf numFmtId="3" fontId="18" fillId="8" borderId="1" xfId="0" applyNumberFormat="1" applyFont="1" applyFill="1" applyBorder="1" applyAlignment="1">
      <alignment horizontal="center" vertical="center"/>
    </xf>
    <xf numFmtId="10" fontId="18" fillId="8" borderId="1" xfId="0" applyNumberFormat="1" applyFont="1" applyFill="1" applyBorder="1" applyAlignment="1">
      <alignment horizontal="center" vertical="center"/>
    </xf>
    <xf numFmtId="168" fontId="18" fillId="8" borderId="1" xfId="0" applyNumberFormat="1" applyFont="1" applyFill="1" applyBorder="1" applyAlignment="1">
      <alignment horizontal="center" vertical="center"/>
    </xf>
    <xf numFmtId="9" fontId="18" fillId="8" borderId="1" xfId="1" applyFont="1" applyFill="1" applyBorder="1" applyAlignment="1">
      <alignment horizontal="center" vertical="center"/>
    </xf>
    <xf numFmtId="0" fontId="0" fillId="8" borderId="0" xfId="0" applyFont="1" applyFill="1" applyAlignment="1"/>
    <xf numFmtId="0" fontId="20" fillId="10" borderId="8" xfId="0" applyFont="1" applyFill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0" fontId="0" fillId="10" borderId="6" xfId="0" applyFont="1" applyFill="1" applyBorder="1" applyAlignment="1"/>
    <xf numFmtId="0" fontId="4" fillId="4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164" fontId="5" fillId="6" borderId="6" xfId="0" applyNumberFormat="1" applyFont="1" applyFill="1" applyBorder="1" applyAlignment="1">
      <alignment horizontal="center" vertical="center"/>
    </xf>
    <xf numFmtId="166" fontId="5" fillId="11" borderId="6" xfId="0" applyNumberFormat="1" applyFont="1" applyFill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/>
    </xf>
    <xf numFmtId="164" fontId="2" fillId="8" borderId="6" xfId="0" applyNumberFormat="1" applyFont="1" applyFill="1" applyBorder="1" applyAlignment="1">
      <alignment horizontal="center" vertical="center" wrapText="1"/>
    </xf>
    <xf numFmtId="0" fontId="29" fillId="0" borderId="0" xfId="0" applyFont="1" applyAlignment="1"/>
    <xf numFmtId="0" fontId="29" fillId="8" borderId="0" xfId="0" applyFont="1" applyFill="1" applyAlignment="1"/>
    <xf numFmtId="164" fontId="29" fillId="0" borderId="0" xfId="0" applyNumberFormat="1" applyFont="1" applyAlignment="1"/>
    <xf numFmtId="0" fontId="1" fillId="4" borderId="6" xfId="0" applyFont="1" applyFill="1" applyBorder="1" applyAlignment="1">
      <alignment horizontal="center" vertical="center"/>
    </xf>
    <xf numFmtId="0" fontId="30" fillId="10" borderId="6" xfId="0" applyFont="1" applyFill="1" applyBorder="1" applyAlignment="1"/>
    <xf numFmtId="0" fontId="26" fillId="10" borderId="6" xfId="0" applyFont="1" applyFill="1" applyBorder="1" applyAlignment="1"/>
    <xf numFmtId="0" fontId="32" fillId="6" borderId="6" xfId="0" applyFont="1" applyFill="1" applyBorder="1" applyAlignment="1">
      <alignment horizontal="center" vertical="center" wrapText="1"/>
    </xf>
    <xf numFmtId="164" fontId="28" fillId="6" borderId="6" xfId="0" applyNumberFormat="1" applyFont="1" applyFill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164" fontId="18" fillId="0" borderId="5" xfId="0" applyNumberFormat="1" applyFont="1" applyBorder="1" applyAlignment="1">
      <alignment horizontal="center" vertical="center"/>
    </xf>
    <xf numFmtId="3" fontId="18" fillId="0" borderId="5" xfId="0" applyNumberFormat="1" applyFont="1" applyBorder="1" applyAlignment="1">
      <alignment horizontal="center" vertical="center"/>
    </xf>
    <xf numFmtId="168" fontId="18" fillId="0" borderId="5" xfId="0" applyNumberFormat="1" applyFont="1" applyBorder="1" applyAlignment="1">
      <alignment horizontal="center" vertical="center"/>
    </xf>
    <xf numFmtId="9" fontId="18" fillId="8" borderId="5" xfId="1" applyFont="1" applyFill="1" applyBorder="1" applyAlignment="1">
      <alignment horizontal="center" vertical="center" wrapText="1"/>
    </xf>
    <xf numFmtId="9" fontId="18" fillId="8" borderId="5" xfId="0" applyNumberFormat="1" applyFont="1" applyFill="1" applyBorder="1" applyAlignment="1">
      <alignment horizontal="center" vertical="center" wrapText="1"/>
    </xf>
    <xf numFmtId="3" fontId="18" fillId="0" borderId="6" xfId="0" applyNumberFormat="1" applyFont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 wrapText="1"/>
    </xf>
    <xf numFmtId="3" fontId="18" fillId="0" borderId="15" xfId="0" applyNumberFormat="1" applyFont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 wrapText="1"/>
    </xf>
    <xf numFmtId="4" fontId="18" fillId="0" borderId="6" xfId="0" applyNumberFormat="1" applyFont="1" applyBorder="1" applyAlignment="1">
      <alignment horizontal="center" vertical="center"/>
    </xf>
    <xf numFmtId="4" fontId="18" fillId="0" borderId="5" xfId="0" applyNumberFormat="1" applyFont="1" applyBorder="1" applyAlignment="1">
      <alignment horizontal="center" vertical="center"/>
    </xf>
    <xf numFmtId="4" fontId="18" fillId="0" borderId="9" xfId="0" applyNumberFormat="1" applyFont="1" applyBorder="1" applyAlignment="1">
      <alignment horizontal="center" vertical="center"/>
    </xf>
    <xf numFmtId="9" fontId="18" fillId="8" borderId="6" xfId="1" applyFont="1" applyFill="1" applyBorder="1" applyAlignment="1">
      <alignment horizontal="center" vertical="center" wrapText="1"/>
    </xf>
    <xf numFmtId="9" fontId="18" fillId="8" borderId="6" xfId="0" applyNumberFormat="1" applyFont="1" applyFill="1" applyBorder="1" applyAlignment="1">
      <alignment horizontal="center" vertical="center" wrapText="1"/>
    </xf>
    <xf numFmtId="49" fontId="33" fillId="0" borderId="6" xfId="0" applyNumberFormat="1" applyFont="1" applyBorder="1" applyAlignment="1">
      <alignment horizontal="center" vertical="center" wrapText="1"/>
    </xf>
    <xf numFmtId="166" fontId="33" fillId="0" borderId="6" xfId="0" applyNumberFormat="1" applyFont="1" applyBorder="1" applyAlignment="1">
      <alignment horizontal="center" vertical="center"/>
    </xf>
    <xf numFmtId="164" fontId="33" fillId="0" borderId="6" xfId="0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164" fontId="33" fillId="3" borderId="6" xfId="0" applyNumberFormat="1" applyFont="1" applyFill="1" applyBorder="1" applyAlignment="1">
      <alignment horizontal="center" vertical="center"/>
    </xf>
    <xf numFmtId="164" fontId="33" fillId="0" borderId="6" xfId="0" applyNumberFormat="1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49" fontId="33" fillId="14" borderId="6" xfId="0" applyNumberFormat="1" applyFont="1" applyFill="1" applyBorder="1" applyAlignment="1">
      <alignment horizontal="center" vertical="center" wrapText="1"/>
    </xf>
    <xf numFmtId="49" fontId="33" fillId="13" borderId="6" xfId="0" applyNumberFormat="1" applyFont="1" applyFill="1" applyBorder="1" applyAlignment="1">
      <alignment horizontal="center" vertical="center" wrapText="1"/>
    </xf>
    <xf numFmtId="167" fontId="33" fillId="0" borderId="6" xfId="0" applyNumberFormat="1" applyFont="1" applyBorder="1" applyAlignment="1">
      <alignment horizontal="center" vertical="center"/>
    </xf>
    <xf numFmtId="166" fontId="33" fillId="2" borderId="6" xfId="0" applyNumberFormat="1" applyFont="1" applyFill="1" applyBorder="1" applyAlignment="1">
      <alignment horizontal="center" vertical="center"/>
    </xf>
    <xf numFmtId="167" fontId="33" fillId="8" borderId="6" xfId="0" applyNumberFormat="1" applyFont="1" applyFill="1" applyBorder="1" applyAlignment="1">
      <alignment horizontal="center" vertical="center"/>
    </xf>
    <xf numFmtId="164" fontId="33" fillId="2" borderId="6" xfId="0" applyNumberFormat="1" applyFont="1" applyFill="1" applyBorder="1" applyAlignment="1">
      <alignment horizontal="center" vertical="center"/>
    </xf>
    <xf numFmtId="164" fontId="31" fillId="2" borderId="6" xfId="0" applyNumberFormat="1" applyFont="1" applyFill="1" applyBorder="1" applyAlignment="1">
      <alignment horizontal="center" vertical="center"/>
    </xf>
    <xf numFmtId="164" fontId="31" fillId="0" borderId="6" xfId="0" applyNumberFormat="1" applyFont="1" applyBorder="1" applyAlignment="1">
      <alignment horizontal="center" vertical="center"/>
    </xf>
    <xf numFmtId="0" fontId="33" fillId="2" borderId="6" xfId="0" applyFont="1" applyFill="1" applyBorder="1" applyAlignment="1">
      <alignment horizontal="center" vertical="center"/>
    </xf>
    <xf numFmtId="167" fontId="33" fillId="2" borderId="6" xfId="0" applyNumberFormat="1" applyFont="1" applyFill="1" applyBorder="1" applyAlignment="1">
      <alignment horizontal="center" vertical="center"/>
    </xf>
    <xf numFmtId="164" fontId="34" fillId="0" borderId="0" xfId="0" applyNumberFormat="1" applyFont="1" applyAlignment="1"/>
    <xf numFmtId="0" fontId="25" fillId="0" borderId="0" xfId="0" applyFont="1" applyAlignment="1"/>
    <xf numFmtId="49" fontId="35" fillId="0" borderId="6" xfId="0" applyNumberFormat="1" applyFont="1" applyBorder="1" applyAlignment="1">
      <alignment horizontal="center" vertical="center" wrapText="1"/>
    </xf>
    <xf numFmtId="0" fontId="35" fillId="14" borderId="6" xfId="0" applyFont="1" applyFill="1" applyBorder="1" applyAlignment="1">
      <alignment horizontal="center" vertical="center" wrapText="1"/>
    </xf>
    <xf numFmtId="0" fontId="35" fillId="13" borderId="6" xfId="0" applyFont="1" applyFill="1" applyBorder="1" applyAlignment="1">
      <alignment horizontal="center" vertical="center" wrapText="1"/>
    </xf>
    <xf numFmtId="49" fontId="35" fillId="14" borderId="6" xfId="0" applyNumberFormat="1" applyFont="1" applyFill="1" applyBorder="1" applyAlignment="1">
      <alignment horizontal="center" vertical="center" wrapText="1"/>
    </xf>
    <xf numFmtId="49" fontId="35" fillId="13" borderId="6" xfId="0" applyNumberFormat="1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49" fontId="36" fillId="0" borderId="6" xfId="0" applyNumberFormat="1" applyFont="1" applyBorder="1" applyAlignment="1">
      <alignment horizontal="center" vertical="center" wrapText="1"/>
    </xf>
    <xf numFmtId="49" fontId="35" fillId="0" borderId="6" xfId="0" applyNumberFormat="1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4" fontId="38" fillId="5" borderId="6" xfId="0" applyNumberFormat="1" applyFont="1" applyFill="1" applyBorder="1" applyAlignment="1">
      <alignment horizontal="center" vertical="center"/>
    </xf>
    <xf numFmtId="4" fontId="38" fillId="5" borderId="6" xfId="0" applyNumberFormat="1" applyFont="1" applyFill="1" applyBorder="1" applyAlignment="1">
      <alignment horizontal="center" vertical="center" wrapText="1"/>
    </xf>
    <xf numFmtId="4" fontId="38" fillId="4" borderId="6" xfId="0" applyNumberFormat="1" applyFont="1" applyFill="1" applyBorder="1" applyAlignment="1">
      <alignment horizontal="center" vertical="center"/>
    </xf>
    <xf numFmtId="0" fontId="38" fillId="4" borderId="6" xfId="0" applyFont="1" applyFill="1" applyBorder="1" applyAlignment="1">
      <alignment horizontal="center" vertical="center" wrapText="1"/>
    </xf>
    <xf numFmtId="4" fontId="38" fillId="4" borderId="6" xfId="0" applyNumberFormat="1" applyFont="1" applyFill="1" applyBorder="1" applyAlignment="1">
      <alignment horizontal="center" vertical="center" wrapText="1"/>
    </xf>
    <xf numFmtId="164" fontId="38" fillId="5" borderId="6" xfId="0" applyNumberFormat="1" applyFont="1" applyFill="1" applyBorder="1" applyAlignment="1">
      <alignment horizontal="center" vertical="center" wrapText="1"/>
    </xf>
    <xf numFmtId="4" fontId="38" fillId="15" borderId="6" xfId="0" applyNumberFormat="1" applyFont="1" applyFill="1" applyBorder="1" applyAlignment="1">
      <alignment horizontal="center" vertical="center" wrapText="1"/>
    </xf>
    <xf numFmtId="4" fontId="40" fillId="5" borderId="6" xfId="0" applyNumberFormat="1" applyFont="1" applyFill="1" applyBorder="1" applyAlignment="1">
      <alignment horizontal="center" vertical="center" wrapText="1"/>
    </xf>
    <xf numFmtId="9" fontId="38" fillId="6" borderId="6" xfId="1" applyFont="1" applyFill="1" applyBorder="1" applyAlignment="1">
      <alignment horizontal="center" vertical="center" wrapText="1"/>
    </xf>
    <xf numFmtId="9" fontId="38" fillId="6" borderId="6" xfId="1" applyFont="1" applyFill="1" applyBorder="1" applyAlignment="1">
      <alignment horizontal="center" vertical="center"/>
    </xf>
    <xf numFmtId="164" fontId="38" fillId="5" borderId="6" xfId="0" applyNumberFormat="1" applyFont="1" applyFill="1" applyBorder="1" applyAlignment="1">
      <alignment horizontal="center" vertical="center"/>
    </xf>
    <xf numFmtId="4" fontId="38" fillId="9" borderId="6" xfId="0" applyNumberFormat="1" applyFont="1" applyFill="1" applyBorder="1" applyAlignment="1">
      <alignment horizontal="center" vertical="center"/>
    </xf>
    <xf numFmtId="4" fontId="38" fillId="9" borderId="6" xfId="0" applyNumberFormat="1" applyFont="1" applyFill="1" applyBorder="1" applyAlignment="1">
      <alignment horizontal="center" vertical="center" wrapText="1"/>
    </xf>
    <xf numFmtId="4" fontId="38" fillId="8" borderId="6" xfId="0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center" vertical="center" wrapText="1"/>
    </xf>
    <xf numFmtId="164" fontId="38" fillId="9" borderId="6" xfId="0" applyNumberFormat="1" applyFont="1" applyFill="1" applyBorder="1" applyAlignment="1">
      <alignment horizontal="center" vertical="center" wrapText="1"/>
    </xf>
    <xf numFmtId="164" fontId="38" fillId="9" borderId="6" xfId="0" applyNumberFormat="1" applyFont="1" applyFill="1" applyBorder="1" applyAlignment="1">
      <alignment horizontal="center" vertical="center"/>
    </xf>
    <xf numFmtId="4" fontId="40" fillId="9" borderId="6" xfId="0" applyNumberFormat="1" applyFont="1" applyFill="1" applyBorder="1" applyAlignment="1">
      <alignment horizontal="center" vertical="center" wrapText="1"/>
    </xf>
    <xf numFmtId="4" fontId="38" fillId="6" borderId="6" xfId="0" applyNumberFormat="1" applyFont="1" applyFill="1" applyBorder="1" applyAlignment="1">
      <alignment horizontal="center" vertical="center"/>
    </xf>
    <xf numFmtId="4" fontId="42" fillId="6" borderId="6" xfId="0" applyNumberFormat="1" applyFont="1" applyFill="1" applyBorder="1" applyAlignment="1">
      <alignment horizontal="center" vertical="center" wrapText="1"/>
    </xf>
    <xf numFmtId="164" fontId="38" fillId="6" borderId="6" xfId="0" applyNumberFormat="1" applyFont="1" applyFill="1" applyBorder="1" applyAlignment="1">
      <alignment horizontal="center" vertical="center"/>
    </xf>
    <xf numFmtId="4" fontId="42" fillId="2" borderId="6" xfId="0" applyNumberFormat="1" applyFont="1" applyFill="1" applyBorder="1" applyAlignment="1">
      <alignment horizontal="center" vertical="center"/>
    </xf>
    <xf numFmtId="4" fontId="42" fillId="0" borderId="6" xfId="0" applyNumberFormat="1" applyFont="1" applyBorder="1" applyAlignment="1">
      <alignment horizontal="center" vertical="center" wrapText="1"/>
    </xf>
    <xf numFmtId="9" fontId="42" fillId="7" borderId="6" xfId="1" applyFont="1" applyFill="1" applyBorder="1" applyAlignment="1">
      <alignment horizontal="center" vertical="center" wrapText="1"/>
    </xf>
    <xf numFmtId="9" fontId="42" fillId="7" borderId="6" xfId="1" applyFont="1" applyFill="1" applyBorder="1" applyAlignment="1">
      <alignment horizontal="center" vertical="center"/>
    </xf>
    <xf numFmtId="4" fontId="42" fillId="0" borderId="6" xfId="0" applyNumberFormat="1" applyFont="1" applyBorder="1" applyAlignment="1">
      <alignment horizontal="center" vertical="center"/>
    </xf>
    <xf numFmtId="164" fontId="42" fillId="0" borderId="6" xfId="0" applyNumberFormat="1" applyFont="1" applyBorder="1" applyAlignment="1">
      <alignment horizontal="center" vertical="center"/>
    </xf>
    <xf numFmtId="4" fontId="42" fillId="0" borderId="6" xfId="0" applyNumberFormat="1" applyFont="1" applyFill="1" applyBorder="1" applyAlignment="1">
      <alignment horizontal="center" vertical="center"/>
    </xf>
    <xf numFmtId="4" fontId="43" fillId="0" borderId="6" xfId="0" applyNumberFormat="1" applyFont="1" applyBorder="1" applyAlignment="1">
      <alignment horizontal="center" vertical="center"/>
    </xf>
    <xf numFmtId="4" fontId="43" fillId="3" borderId="6" xfId="0" applyNumberFormat="1" applyFont="1" applyFill="1" applyBorder="1" applyAlignment="1">
      <alignment horizontal="center" vertical="center"/>
    </xf>
    <xf numFmtId="4" fontId="38" fillId="11" borderId="6" xfId="0" applyNumberFormat="1" applyFont="1" applyFill="1" applyBorder="1" applyAlignment="1">
      <alignment horizontal="center" vertical="center"/>
    </xf>
    <xf numFmtId="4" fontId="38" fillId="10" borderId="6" xfId="0" applyNumberFormat="1" applyFont="1" applyFill="1" applyBorder="1" applyAlignment="1">
      <alignment horizontal="center" vertical="center" wrapText="1"/>
    </xf>
    <xf numFmtId="164" fontId="38" fillId="10" borderId="6" xfId="0" applyNumberFormat="1" applyFont="1" applyFill="1" applyBorder="1" applyAlignment="1">
      <alignment horizontal="center" vertical="center"/>
    </xf>
    <xf numFmtId="4" fontId="38" fillId="10" borderId="6" xfId="0" applyNumberFormat="1" applyFont="1" applyFill="1" applyBorder="1" applyAlignment="1">
      <alignment horizontal="center" vertical="center"/>
    </xf>
    <xf numFmtId="4" fontId="42" fillId="9" borderId="6" xfId="0" applyNumberFormat="1" applyFont="1" applyFill="1" applyBorder="1" applyAlignment="1">
      <alignment horizontal="center" vertical="center"/>
    </xf>
    <xf numFmtId="4" fontId="42" fillId="8" borderId="6" xfId="0" applyNumberFormat="1" applyFont="1" applyFill="1" applyBorder="1" applyAlignment="1">
      <alignment horizontal="center" vertical="center" wrapText="1"/>
    </xf>
    <xf numFmtId="4" fontId="43" fillId="2" borderId="6" xfId="0" applyNumberFormat="1" applyFont="1" applyFill="1" applyBorder="1" applyAlignment="1">
      <alignment horizontal="center" vertical="center"/>
    </xf>
    <xf numFmtId="4" fontId="43" fillId="0" borderId="6" xfId="0" applyNumberFormat="1" applyFont="1" applyBorder="1" applyAlignment="1">
      <alignment horizontal="center" vertical="center" wrapText="1"/>
    </xf>
    <xf numFmtId="9" fontId="43" fillId="7" borderId="6" xfId="1" applyFont="1" applyFill="1" applyBorder="1" applyAlignment="1">
      <alignment horizontal="center" vertical="center" wrapText="1"/>
    </xf>
    <xf numFmtId="9" fontId="43" fillId="7" borderId="6" xfId="1" applyFont="1" applyFill="1" applyBorder="1" applyAlignment="1">
      <alignment horizontal="center" vertical="center"/>
    </xf>
    <xf numFmtId="164" fontId="43" fillId="0" borderId="6" xfId="0" applyNumberFormat="1" applyFont="1" applyBorder="1" applyAlignment="1">
      <alignment horizontal="center" vertical="center"/>
    </xf>
    <xf numFmtId="4" fontId="43" fillId="0" borderId="10" xfId="0" applyNumberFormat="1" applyFont="1" applyBorder="1" applyAlignment="1">
      <alignment horizontal="center" vertical="center"/>
    </xf>
    <xf numFmtId="4" fontId="43" fillId="0" borderId="6" xfId="0" applyNumberFormat="1" applyFont="1" applyBorder="1" applyAlignment="1">
      <alignment vertical="center"/>
    </xf>
    <xf numFmtId="4" fontId="43" fillId="0" borderId="6" xfId="2" applyNumberFormat="1" applyFont="1" applyBorder="1" applyAlignment="1">
      <alignment vertical="center"/>
    </xf>
    <xf numFmtId="4" fontId="44" fillId="6" borderId="6" xfId="0" applyNumberFormat="1" applyFont="1" applyFill="1" applyBorder="1" applyAlignment="1">
      <alignment vertical="center"/>
    </xf>
    <xf numFmtId="4" fontId="42" fillId="3" borderId="6" xfId="0" applyNumberFormat="1" applyFont="1" applyFill="1" applyBorder="1" applyAlignment="1">
      <alignment horizontal="center" vertical="center"/>
    </xf>
    <xf numFmtId="4" fontId="42" fillId="8" borderId="6" xfId="0" applyNumberFormat="1" applyFont="1" applyFill="1" applyBorder="1" applyAlignment="1">
      <alignment horizontal="center" vertical="center"/>
    </xf>
    <xf numFmtId="9" fontId="44" fillId="0" borderId="6" xfId="1" applyFont="1" applyBorder="1" applyAlignment="1">
      <alignment horizontal="center" vertical="center" wrapText="1"/>
    </xf>
    <xf numFmtId="4" fontId="42" fillId="0" borderId="6" xfId="2" applyNumberFormat="1" applyFont="1" applyBorder="1" applyAlignment="1">
      <alignment horizontal="center" vertical="center"/>
    </xf>
    <xf numFmtId="4" fontId="45" fillId="6" borderId="6" xfId="0" applyNumberFormat="1" applyFont="1" applyFill="1" applyBorder="1" applyAlignment="1">
      <alignment vertical="center"/>
    </xf>
    <xf numFmtId="4" fontId="40" fillId="6" borderId="6" xfId="0" applyNumberFormat="1" applyFont="1" applyFill="1" applyBorder="1" applyAlignment="1">
      <alignment horizontal="center" vertical="center"/>
    </xf>
    <xf numFmtId="9" fontId="40" fillId="6" borderId="6" xfId="1" applyFont="1" applyFill="1" applyBorder="1" applyAlignment="1">
      <alignment horizontal="center" vertical="center"/>
    </xf>
    <xf numFmtId="4" fontId="43" fillId="0" borderId="6" xfId="0" applyNumberFormat="1" applyFont="1" applyFill="1" applyBorder="1" applyAlignment="1">
      <alignment horizontal="center" vertical="center"/>
    </xf>
    <xf numFmtId="4" fontId="46" fillId="2" borderId="0" xfId="0" applyNumberFormat="1" applyFont="1" applyFill="1" applyAlignment="1">
      <alignment horizontal="center" vertical="center"/>
    </xf>
    <xf numFmtId="4" fontId="47" fillId="0" borderId="0" xfId="0" applyNumberFormat="1" applyFont="1" applyAlignment="1">
      <alignment vertical="center"/>
    </xf>
    <xf numFmtId="4" fontId="38" fillId="2" borderId="2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64" fontId="38" fillId="2" borderId="4" xfId="0" applyNumberFormat="1" applyFont="1" applyFill="1" applyBorder="1" applyAlignment="1">
      <alignment horizontal="center" vertical="center"/>
    </xf>
    <xf numFmtId="164" fontId="42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2" fontId="47" fillId="0" borderId="0" xfId="0" applyNumberFormat="1" applyFont="1" applyAlignment="1">
      <alignment vertical="center"/>
    </xf>
    <xf numFmtId="164" fontId="42" fillId="2" borderId="2" xfId="0" applyNumberFormat="1" applyFont="1" applyFill="1" applyBorder="1" applyAlignment="1">
      <alignment horizontal="center" vertical="center"/>
    </xf>
    <xf numFmtId="4" fontId="42" fillId="0" borderId="0" xfId="0" applyNumberFormat="1" applyFont="1" applyAlignment="1">
      <alignment horizontal="center" vertical="center"/>
    </xf>
    <xf numFmtId="165" fontId="42" fillId="0" borderId="0" xfId="0" applyNumberFormat="1" applyFont="1" applyAlignment="1">
      <alignment horizontal="center" vertical="center"/>
    </xf>
    <xf numFmtId="0" fontId="46" fillId="0" borderId="0" xfId="0" applyFont="1" applyAlignment="1">
      <alignment vertical="center"/>
    </xf>
    <xf numFmtId="4" fontId="46" fillId="0" borderId="4" xfId="0" applyNumberFormat="1" applyFont="1" applyBorder="1" applyAlignment="1">
      <alignment vertical="center"/>
    </xf>
    <xf numFmtId="4" fontId="48" fillId="0" borderId="4" xfId="0" applyNumberFormat="1" applyFont="1" applyBorder="1" applyAlignment="1"/>
    <xf numFmtId="4" fontId="48" fillId="0" borderId="0" xfId="0" applyNumberFormat="1" applyFont="1" applyAlignment="1"/>
    <xf numFmtId="4" fontId="46" fillId="0" borderId="0" xfId="0" applyNumberFormat="1" applyFont="1" applyAlignment="1">
      <alignment vertical="center"/>
    </xf>
    <xf numFmtId="4" fontId="49" fillId="0" borderId="0" xfId="0" applyNumberFormat="1" applyFont="1" applyAlignment="1">
      <alignment vertical="center"/>
    </xf>
    <xf numFmtId="4" fontId="49" fillId="0" borderId="4" xfId="0" applyNumberFormat="1" applyFont="1" applyBorder="1" applyAlignment="1">
      <alignment vertical="center"/>
    </xf>
    <xf numFmtId="4" fontId="38" fillId="2" borderId="3" xfId="0" applyNumberFormat="1" applyFont="1" applyFill="1" applyBorder="1" applyAlignment="1">
      <alignment horizontal="center" vertical="center"/>
    </xf>
    <xf numFmtId="49" fontId="42" fillId="14" borderId="6" xfId="0" applyNumberFormat="1" applyFont="1" applyFill="1" applyBorder="1" applyAlignment="1">
      <alignment horizontal="center" vertical="center" wrapText="1"/>
    </xf>
    <xf numFmtId="164" fontId="42" fillId="2" borderId="3" xfId="0" applyNumberFormat="1" applyFont="1" applyFill="1" applyBorder="1" applyAlignment="1">
      <alignment horizontal="center" vertical="center"/>
    </xf>
    <xf numFmtId="4" fontId="46" fillId="2" borderId="0" xfId="0" applyNumberFormat="1" applyFont="1" applyFill="1" applyAlignment="1">
      <alignment horizontal="left" vertical="center"/>
    </xf>
    <xf numFmtId="164" fontId="42" fillId="13" borderId="4" xfId="0" applyNumberFormat="1" applyFont="1" applyFill="1" applyBorder="1" applyAlignment="1">
      <alignment horizontal="center" vertical="center"/>
    </xf>
    <xf numFmtId="4" fontId="50" fillId="2" borderId="0" xfId="0" applyNumberFormat="1" applyFont="1" applyFill="1"/>
    <xf numFmtId="0" fontId="50" fillId="0" borderId="0" xfId="0" applyFont="1" applyAlignment="1">
      <alignment horizontal="center" vertical="center"/>
    </xf>
    <xf numFmtId="0" fontId="48" fillId="0" borderId="0" xfId="0" applyFont="1" applyAlignment="1"/>
    <xf numFmtId="2" fontId="50" fillId="0" borderId="0" xfId="0" applyNumberFormat="1" applyFont="1"/>
    <xf numFmtId="4" fontId="51" fillId="0" borderId="0" xfId="0" applyNumberFormat="1" applyFont="1" applyAlignment="1"/>
    <xf numFmtId="4" fontId="51" fillId="0" borderId="4" xfId="0" applyNumberFormat="1" applyFont="1" applyBorder="1" applyAlignment="1"/>
    <xf numFmtId="164" fontId="38" fillId="11" borderId="6" xfId="0" applyNumberFormat="1" applyFont="1" applyFill="1" applyBorder="1" applyAlignment="1">
      <alignment horizontal="center" vertical="center" wrapText="1"/>
    </xf>
    <xf numFmtId="0" fontId="44" fillId="4" borderId="6" xfId="0" applyFont="1" applyFill="1" applyBorder="1" applyAlignment="1">
      <alignment horizontal="center" vertical="center"/>
    </xf>
    <xf numFmtId="0" fontId="44" fillId="4" borderId="6" xfId="0" applyFont="1" applyFill="1" applyBorder="1" applyAlignment="1"/>
    <xf numFmtId="0" fontId="48" fillId="8" borderId="6" xfId="0" applyFont="1" applyFill="1" applyBorder="1" applyAlignment="1"/>
    <xf numFmtId="0" fontId="48" fillId="10" borderId="6" xfId="0" applyFont="1" applyFill="1" applyBorder="1" applyAlignment="1"/>
    <xf numFmtId="9" fontId="44" fillId="10" borderId="6" xfId="1" applyFont="1" applyFill="1" applyBorder="1" applyAlignment="1">
      <alignment horizontal="center" vertical="center" wrapText="1"/>
    </xf>
    <xf numFmtId="9" fontId="44" fillId="0" borderId="6" xfId="0" applyNumberFormat="1" applyFont="1" applyBorder="1" applyAlignment="1">
      <alignment horizontal="center" vertical="center"/>
    </xf>
    <xf numFmtId="14" fontId="44" fillId="0" borderId="6" xfId="0" applyNumberFormat="1" applyFont="1" applyBorder="1" applyAlignment="1">
      <alignment horizontal="center" vertical="center" wrapText="1"/>
    </xf>
    <xf numFmtId="9" fontId="44" fillId="12" borderId="6" xfId="1" applyFont="1" applyFill="1" applyBorder="1" applyAlignment="1">
      <alignment horizontal="center" vertical="center" wrapText="1"/>
    </xf>
    <xf numFmtId="0" fontId="44" fillId="10" borderId="6" xfId="0" applyFont="1" applyFill="1" applyBorder="1" applyAlignment="1">
      <alignment horizontal="center" vertical="center" wrapText="1"/>
    </xf>
    <xf numFmtId="0" fontId="44" fillId="4" borderId="6" xfId="0" applyFont="1" applyFill="1" applyBorder="1" applyAlignment="1">
      <alignment horizontal="center" vertical="center" wrapText="1"/>
    </xf>
    <xf numFmtId="9" fontId="44" fillId="0" borderId="6" xfId="0" applyNumberFormat="1" applyFont="1" applyFill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/>
    </xf>
    <xf numFmtId="0" fontId="44" fillId="0" borderId="6" xfId="0" applyFont="1" applyBorder="1" applyAlignment="1"/>
    <xf numFmtId="0" fontId="44" fillId="12" borderId="6" xfId="0" applyFont="1" applyFill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 wrapText="1"/>
    </xf>
    <xf numFmtId="9" fontId="44" fillId="10" borderId="6" xfId="0" applyNumberFormat="1" applyFont="1" applyFill="1" applyBorder="1" applyAlignment="1">
      <alignment horizontal="center" vertical="center" wrapText="1"/>
    </xf>
    <xf numFmtId="9" fontId="44" fillId="10" borderId="6" xfId="1" applyNumberFormat="1" applyFont="1" applyFill="1" applyBorder="1" applyAlignment="1">
      <alignment horizontal="center" vertical="center" wrapText="1"/>
    </xf>
    <xf numFmtId="0" fontId="47" fillId="10" borderId="6" xfId="0" applyFont="1" applyFill="1" applyBorder="1" applyAlignment="1">
      <alignment vertical="center"/>
    </xf>
    <xf numFmtId="170" fontId="44" fillId="10" borderId="6" xfId="0" applyNumberFormat="1" applyFont="1" applyFill="1" applyBorder="1" applyAlignment="1">
      <alignment horizontal="center" vertical="center" wrapText="1"/>
    </xf>
    <xf numFmtId="14" fontId="44" fillId="10" borderId="6" xfId="0" applyNumberFormat="1" applyFont="1" applyFill="1" applyBorder="1" applyAlignment="1">
      <alignment horizontal="center" vertical="center" wrapText="1"/>
    </xf>
    <xf numFmtId="14" fontId="44" fillId="0" borderId="6" xfId="1" applyNumberFormat="1" applyFont="1" applyBorder="1" applyAlignment="1">
      <alignment horizontal="center" vertical="center" wrapText="1"/>
    </xf>
    <xf numFmtId="9" fontId="44" fillId="12" borderId="6" xfId="0" applyNumberFormat="1" applyFont="1" applyFill="1" applyBorder="1" applyAlignment="1">
      <alignment horizontal="center" vertical="center" wrapText="1"/>
    </xf>
    <xf numFmtId="0" fontId="43" fillId="12" borderId="6" xfId="0" applyFont="1" applyFill="1" applyBorder="1" applyAlignment="1">
      <alignment horizontal="center" vertical="center" wrapText="1"/>
    </xf>
    <xf numFmtId="9" fontId="43" fillId="0" borderId="6" xfId="0" applyNumberFormat="1" applyFont="1" applyBorder="1" applyAlignment="1">
      <alignment horizontal="center" vertical="center"/>
    </xf>
    <xf numFmtId="14" fontId="43" fillId="0" borderId="6" xfId="0" applyNumberFormat="1" applyFont="1" applyBorder="1" applyAlignment="1">
      <alignment horizontal="center" vertical="center" wrapText="1"/>
    </xf>
    <xf numFmtId="0" fontId="48" fillId="4" borderId="6" xfId="0" applyFont="1" applyFill="1" applyBorder="1" applyAlignment="1">
      <alignment horizontal="center" vertical="center"/>
    </xf>
    <xf numFmtId="0" fontId="52" fillId="10" borderId="6" xfId="0" applyFont="1" applyFill="1" applyBorder="1"/>
    <xf numFmtId="14" fontId="43" fillId="0" borderId="6" xfId="1" applyNumberFormat="1" applyFont="1" applyBorder="1" applyAlignment="1">
      <alignment horizontal="center" vertical="center" wrapText="1"/>
    </xf>
    <xf numFmtId="0" fontId="51" fillId="10" borderId="6" xfId="0" applyFont="1" applyFill="1" applyBorder="1" applyAlignment="1"/>
    <xf numFmtId="0" fontId="43" fillId="4" borderId="6" xfId="0" applyFont="1" applyFill="1" applyBorder="1" applyAlignment="1">
      <alignment horizontal="center" vertical="center"/>
    </xf>
    <xf numFmtId="0" fontId="43" fillId="4" borderId="6" xfId="0" applyFont="1" applyFill="1" applyBorder="1" applyAlignment="1"/>
    <xf numFmtId="0" fontId="43" fillId="0" borderId="6" xfId="0" applyFont="1" applyBorder="1" applyAlignment="1">
      <alignment horizontal="center" vertical="center"/>
    </xf>
    <xf numFmtId="0" fontId="43" fillId="0" borderId="6" xfId="0" applyFont="1" applyBorder="1" applyAlignment="1"/>
    <xf numFmtId="9" fontId="43" fillId="0" borderId="6" xfId="1" applyFont="1" applyBorder="1" applyAlignment="1">
      <alignment horizontal="center" vertical="center" wrapText="1"/>
    </xf>
    <xf numFmtId="0" fontId="48" fillId="0" borderId="4" xfId="0" applyFont="1" applyBorder="1" applyAlignment="1"/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/>
    </xf>
    <xf numFmtId="9" fontId="44" fillId="10" borderId="6" xfId="1" applyFont="1" applyFill="1" applyBorder="1" applyAlignment="1">
      <alignment horizontal="center" vertical="center" wrapText="1"/>
    </xf>
    <xf numFmtId="4" fontId="42" fillId="0" borderId="6" xfId="0" applyNumberFormat="1" applyFont="1" applyBorder="1" applyAlignment="1">
      <alignment horizontal="center" vertical="center"/>
    </xf>
    <xf numFmtId="4" fontId="43" fillId="0" borderId="6" xfId="0" applyNumberFormat="1" applyFont="1" applyBorder="1" applyAlignment="1">
      <alignment horizontal="center" vertical="center"/>
    </xf>
    <xf numFmtId="4" fontId="42" fillId="0" borderId="9" xfId="0" applyNumberFormat="1" applyFont="1" applyBorder="1" applyAlignment="1">
      <alignment horizontal="center" vertical="center"/>
    </xf>
    <xf numFmtId="4" fontId="42" fillId="0" borderId="10" xfId="0" applyNumberFormat="1" applyFont="1" applyBorder="1" applyAlignment="1">
      <alignment horizontal="center" vertical="center"/>
    </xf>
    <xf numFmtId="0" fontId="90" fillId="0" borderId="4" xfId="3" applyFont="1" applyAlignment="1"/>
    <xf numFmtId="0" fontId="55" fillId="0" borderId="4" xfId="3" applyFont="1" applyAlignment="1"/>
    <xf numFmtId="0" fontId="87" fillId="0" borderId="4" xfId="3" applyFont="1" applyAlignment="1"/>
    <xf numFmtId="0" fontId="91" fillId="0" borderId="4" xfId="3" applyFont="1" applyAlignment="1"/>
    <xf numFmtId="0" fontId="92" fillId="0" borderId="4" xfId="3" applyFont="1" applyAlignment="1"/>
    <xf numFmtId="0" fontId="72" fillId="0" borderId="4" xfId="3" applyFont="1" applyAlignment="1"/>
    <xf numFmtId="0" fontId="54" fillId="18" borderId="4" xfId="3" applyFont="1" applyFill="1" applyBorder="1"/>
    <xf numFmtId="0" fontId="54" fillId="3" borderId="4" xfId="3" applyFont="1" applyFill="1" applyBorder="1"/>
    <xf numFmtId="0" fontId="93" fillId="3" borderId="4" xfId="3" applyFont="1" applyFill="1" applyBorder="1"/>
    <xf numFmtId="0" fontId="94" fillId="0" borderId="1" xfId="3" applyFont="1" applyBorder="1"/>
    <xf numFmtId="9" fontId="54" fillId="0" borderId="4" xfId="3" applyNumberFormat="1" applyFont="1"/>
    <xf numFmtId="0" fontId="54" fillId="0" borderId="4" xfId="3" applyFont="1" applyAlignment="1">
      <alignment horizontal="center"/>
    </xf>
    <xf numFmtId="172" fontId="83" fillId="3" borderId="1" xfId="3" applyNumberFormat="1" applyFont="1" applyFill="1" applyBorder="1" applyAlignment="1">
      <alignment vertical="center" wrapText="1"/>
    </xf>
    <xf numFmtId="164" fontId="57" fillId="18" borderId="7" xfId="3" applyNumberFormat="1" applyFont="1" applyFill="1" applyBorder="1" applyAlignment="1">
      <alignment horizontal="center" vertical="center" wrapText="1"/>
    </xf>
    <xf numFmtId="164" fontId="57" fillId="3" borderId="7" xfId="3" applyNumberFormat="1" applyFont="1" applyFill="1" applyBorder="1" applyAlignment="1">
      <alignment horizontal="center" vertical="center" wrapText="1"/>
    </xf>
    <xf numFmtId="164" fontId="57" fillId="3" borderId="1" xfId="3" applyNumberFormat="1" applyFont="1" applyFill="1" applyBorder="1" applyAlignment="1">
      <alignment horizontal="center" vertical="center" wrapText="1"/>
    </xf>
    <xf numFmtId="173" fontId="79" fillId="24" borderId="1" xfId="3" applyNumberFormat="1" applyFont="1" applyFill="1" applyBorder="1" applyAlignment="1">
      <alignment horizontal="center" vertical="center" wrapText="1"/>
    </xf>
    <xf numFmtId="49" fontId="79" fillId="3" borderId="1" xfId="3" applyNumberFormat="1" applyFont="1" applyFill="1" applyBorder="1" applyAlignment="1">
      <alignment horizontal="center" vertical="center" wrapText="1"/>
    </xf>
    <xf numFmtId="172" fontId="79" fillId="3" borderId="1" xfId="3" applyNumberFormat="1" applyFont="1" applyFill="1" applyBorder="1" applyAlignment="1">
      <alignment horizontal="left" vertical="center" wrapText="1"/>
    </xf>
    <xf numFmtId="14" fontId="79" fillId="3" borderId="1" xfId="3" applyNumberFormat="1" applyFont="1" applyFill="1" applyBorder="1" applyAlignment="1">
      <alignment horizontal="center" vertical="center" wrapText="1"/>
    </xf>
    <xf numFmtId="164" fontId="79" fillId="3" borderId="1" xfId="3" applyNumberFormat="1" applyFont="1" applyFill="1" applyBorder="1" applyAlignment="1">
      <alignment horizontal="center" vertical="center" wrapText="1"/>
    </xf>
    <xf numFmtId="9" fontId="79" fillId="3" borderId="1" xfId="3" applyNumberFormat="1" applyFont="1" applyFill="1" applyBorder="1" applyAlignment="1">
      <alignment horizontal="center" vertical="center" wrapText="1"/>
    </xf>
    <xf numFmtId="9" fontId="64" fillId="3" borderId="1" xfId="3" applyNumberFormat="1" applyFont="1" applyFill="1" applyBorder="1" applyAlignment="1">
      <alignment horizontal="center" vertical="center" wrapText="1"/>
    </xf>
    <xf numFmtId="9" fontId="70" fillId="3" borderId="1" xfId="3" applyNumberFormat="1" applyFont="1" applyFill="1" applyBorder="1" applyAlignment="1">
      <alignment horizontal="center" vertical="center" wrapText="1"/>
    </xf>
    <xf numFmtId="171" fontId="79" fillId="3" borderId="1" xfId="3" applyNumberFormat="1" applyFont="1" applyFill="1" applyBorder="1" applyAlignment="1">
      <alignment horizontal="center" vertical="center" wrapText="1"/>
    </xf>
    <xf numFmtId="171" fontId="81" fillId="3" borderId="1" xfId="3" applyNumberFormat="1" applyFont="1" applyFill="1" applyBorder="1" applyAlignment="1">
      <alignment horizontal="center" vertical="center" wrapText="1"/>
    </xf>
    <xf numFmtId="14" fontId="81" fillId="3" borderId="1" xfId="3" applyNumberFormat="1" applyFont="1" applyFill="1" applyBorder="1" applyAlignment="1">
      <alignment horizontal="center" vertical="center" wrapText="1"/>
    </xf>
    <xf numFmtId="49" fontId="64" fillId="3" borderId="1" xfId="3" applyNumberFormat="1" applyFont="1" applyFill="1" applyBorder="1" applyAlignment="1">
      <alignment horizontal="left" vertical="center" wrapText="1"/>
    </xf>
    <xf numFmtId="1" fontId="62" fillId="3" borderId="1" xfId="3" applyNumberFormat="1" applyFont="1" applyFill="1" applyBorder="1" applyAlignment="1">
      <alignment horizontal="center" vertical="center"/>
    </xf>
    <xf numFmtId="1" fontId="62" fillId="3" borderId="1" xfId="3" applyNumberFormat="1" applyFont="1" applyFill="1" applyBorder="1" applyAlignment="1">
      <alignment horizontal="center" vertical="center" wrapText="1"/>
    </xf>
    <xf numFmtId="172" fontId="83" fillId="0" borderId="1" xfId="3" applyNumberFormat="1" applyFont="1" applyBorder="1" applyAlignment="1">
      <alignment vertical="center" wrapText="1"/>
    </xf>
    <xf numFmtId="164" fontId="57" fillId="0" borderId="7" xfId="3" applyNumberFormat="1" applyFont="1" applyBorder="1" applyAlignment="1">
      <alignment horizontal="center" vertical="center" wrapText="1"/>
    </xf>
    <xf numFmtId="164" fontId="57" fillId="0" borderId="1" xfId="3" applyNumberFormat="1" applyFont="1" applyBorder="1" applyAlignment="1">
      <alignment horizontal="center" vertical="center" wrapText="1"/>
    </xf>
    <xf numFmtId="173" fontId="79" fillId="0" borderId="1" xfId="3" applyNumberFormat="1" applyFont="1" applyBorder="1" applyAlignment="1">
      <alignment horizontal="center" vertical="center" wrapText="1"/>
    </xf>
    <xf numFmtId="49" fontId="79" fillId="0" borderId="1" xfId="3" applyNumberFormat="1" applyFont="1" applyBorder="1" applyAlignment="1">
      <alignment horizontal="center" vertical="center" wrapText="1"/>
    </xf>
    <xf numFmtId="172" fontId="79" fillId="0" borderId="1" xfId="3" applyNumberFormat="1" applyFont="1" applyBorder="1" applyAlignment="1">
      <alignment horizontal="left" vertical="center" wrapText="1"/>
    </xf>
    <xf numFmtId="14" fontId="79" fillId="0" borderId="1" xfId="3" applyNumberFormat="1" applyFont="1" applyBorder="1" applyAlignment="1">
      <alignment horizontal="center" vertical="center" wrapText="1"/>
    </xf>
    <xf numFmtId="164" fontId="79" fillId="0" borderId="1" xfId="3" applyNumberFormat="1" applyFont="1" applyBorder="1" applyAlignment="1">
      <alignment horizontal="center" vertical="center" wrapText="1"/>
    </xf>
    <xf numFmtId="9" fontId="79" fillId="0" borderId="1" xfId="3" applyNumberFormat="1" applyFont="1" applyBorder="1" applyAlignment="1">
      <alignment horizontal="center" vertical="center" wrapText="1"/>
    </xf>
    <xf numFmtId="9" fontId="64" fillId="0" borderId="1" xfId="3" applyNumberFormat="1" applyFont="1" applyBorder="1" applyAlignment="1">
      <alignment horizontal="center" vertical="center" wrapText="1"/>
    </xf>
    <xf numFmtId="9" fontId="70" fillId="0" borderId="1" xfId="3" applyNumberFormat="1" applyFont="1" applyBorder="1" applyAlignment="1">
      <alignment horizontal="center" vertical="center" wrapText="1"/>
    </xf>
    <xf numFmtId="171" fontId="79" fillId="0" borderId="1" xfId="3" applyNumberFormat="1" applyFont="1" applyBorder="1" applyAlignment="1">
      <alignment horizontal="center" vertical="center" wrapText="1"/>
    </xf>
    <xf numFmtId="171" fontId="81" fillId="0" borderId="1" xfId="3" applyNumberFormat="1" applyFont="1" applyBorder="1" applyAlignment="1">
      <alignment horizontal="center" vertical="center" wrapText="1"/>
    </xf>
    <xf numFmtId="14" fontId="81" fillId="0" borderId="1" xfId="3" applyNumberFormat="1" applyFont="1" applyBorder="1" applyAlignment="1">
      <alignment horizontal="center" vertical="center" wrapText="1"/>
    </xf>
    <xf numFmtId="49" fontId="64" fillId="0" borderId="1" xfId="3" applyNumberFormat="1" applyFont="1" applyBorder="1" applyAlignment="1">
      <alignment horizontal="left" vertical="center" wrapText="1"/>
    </xf>
    <xf numFmtId="164" fontId="57" fillId="3" borderId="1" xfId="3" applyNumberFormat="1" applyFont="1" applyFill="1" applyBorder="1" applyAlignment="1">
      <alignment horizontal="center" vertical="center"/>
    </xf>
    <xf numFmtId="0" fontId="79" fillId="0" borderId="1" xfId="3" applyFont="1" applyBorder="1" applyAlignment="1">
      <alignment horizontal="center" vertical="center" wrapText="1"/>
    </xf>
    <xf numFmtId="0" fontId="64" fillId="0" borderId="1" xfId="3" applyFont="1" applyBorder="1" applyAlignment="1">
      <alignment horizontal="left" vertical="center" wrapText="1"/>
    </xf>
    <xf numFmtId="1" fontId="79" fillId="0" borderId="1" xfId="3" applyNumberFormat="1" applyFont="1" applyBorder="1" applyAlignment="1">
      <alignment horizontal="center" vertical="center" wrapText="1"/>
    </xf>
    <xf numFmtId="164" fontId="57" fillId="0" borderId="1" xfId="3" applyNumberFormat="1" applyFont="1" applyBorder="1" applyAlignment="1">
      <alignment horizontal="center" vertical="center"/>
    </xf>
    <xf numFmtId="164" fontId="57" fillId="0" borderId="7" xfId="3" applyNumberFormat="1" applyFont="1" applyBorder="1" applyAlignment="1">
      <alignment horizontal="center" vertical="center"/>
    </xf>
    <xf numFmtId="173" fontId="79" fillId="0" borderId="1" xfId="3" applyNumberFormat="1" applyFont="1" applyBorder="1" applyAlignment="1">
      <alignment horizontal="center" vertical="center"/>
    </xf>
    <xf numFmtId="174" fontId="79" fillId="0" borderId="1" xfId="3" applyNumberFormat="1" applyFont="1" applyBorder="1" applyAlignment="1">
      <alignment horizontal="center" vertical="center" wrapText="1"/>
    </xf>
    <xf numFmtId="174" fontId="81" fillId="0" borderId="1" xfId="3" applyNumberFormat="1" applyFont="1" applyBorder="1" applyAlignment="1">
      <alignment horizontal="center" vertical="center" wrapText="1"/>
    </xf>
    <xf numFmtId="174" fontId="64" fillId="0" borderId="1" xfId="3" applyNumberFormat="1" applyFont="1" applyBorder="1" applyAlignment="1">
      <alignment horizontal="left" vertical="center" wrapText="1"/>
    </xf>
    <xf numFmtId="173" fontId="79" fillId="0" borderId="1" xfId="3" applyNumberFormat="1" applyFont="1" applyBorder="1" applyAlignment="1">
      <alignment horizontal="left" vertical="center" wrapText="1"/>
    </xf>
    <xf numFmtId="176" fontId="79" fillId="3" borderId="1" xfId="3" applyNumberFormat="1" applyFont="1" applyFill="1" applyBorder="1" applyAlignment="1">
      <alignment horizontal="center" vertical="center" wrapText="1"/>
    </xf>
    <xf numFmtId="176" fontId="79" fillId="0" borderId="1" xfId="3" applyNumberFormat="1" applyFont="1" applyBorder="1" applyAlignment="1">
      <alignment horizontal="center" vertical="center" wrapText="1"/>
    </xf>
    <xf numFmtId="164" fontId="57" fillId="18" borderId="1" xfId="3" applyNumberFormat="1" applyFont="1" applyFill="1" applyBorder="1" applyAlignment="1">
      <alignment horizontal="center" vertical="center"/>
    </xf>
    <xf numFmtId="173" fontId="57" fillId="3" borderId="1" xfId="3" applyNumberFormat="1" applyFont="1" applyFill="1" applyBorder="1" applyAlignment="1">
      <alignment horizontal="center" vertical="center" wrapText="1"/>
    </xf>
    <xf numFmtId="172" fontId="57" fillId="3" borderId="1" xfId="3" applyNumberFormat="1" applyFont="1" applyFill="1" applyBorder="1" applyAlignment="1">
      <alignment horizontal="left" vertical="center" wrapText="1"/>
    </xf>
    <xf numFmtId="171" fontId="57" fillId="3" borderId="1" xfId="3" applyNumberFormat="1" applyFont="1" applyFill="1" applyBorder="1" applyAlignment="1">
      <alignment horizontal="center" vertical="center" wrapText="1"/>
    </xf>
    <xf numFmtId="9" fontId="57" fillId="3" borderId="1" xfId="3" applyNumberFormat="1" applyFont="1" applyFill="1" applyBorder="1" applyAlignment="1">
      <alignment horizontal="center" vertical="center" wrapText="1"/>
    </xf>
    <xf numFmtId="9" fontId="58" fillId="3" borderId="1" xfId="3" applyNumberFormat="1" applyFont="1" applyFill="1" applyBorder="1" applyAlignment="1">
      <alignment horizontal="center" vertical="center" wrapText="1"/>
    </xf>
    <xf numFmtId="9" fontId="60" fillId="3" borderId="1" xfId="3" applyNumberFormat="1" applyFont="1" applyFill="1" applyBorder="1" applyAlignment="1">
      <alignment horizontal="center" vertical="center" wrapText="1"/>
    </xf>
    <xf numFmtId="171" fontId="59" fillId="3" borderId="1" xfId="3" applyNumberFormat="1" applyFont="1" applyFill="1" applyBorder="1" applyAlignment="1">
      <alignment horizontal="center" vertical="center" wrapText="1"/>
    </xf>
    <xf numFmtId="49" fontId="58" fillId="3" borderId="1" xfId="3" applyNumberFormat="1" applyFont="1" applyFill="1" applyBorder="1" applyAlignment="1">
      <alignment horizontal="left" vertical="center" wrapText="1"/>
    </xf>
    <xf numFmtId="49" fontId="57" fillId="3" borderId="1" xfId="3" applyNumberFormat="1" applyFont="1" applyFill="1" applyBorder="1" applyAlignment="1">
      <alignment horizontal="center" vertical="center" wrapText="1"/>
    </xf>
    <xf numFmtId="1" fontId="57" fillId="3" borderId="1" xfId="3" applyNumberFormat="1" applyFont="1" applyFill="1" applyBorder="1" applyAlignment="1">
      <alignment horizontal="center" vertical="center" wrapText="1"/>
    </xf>
    <xf numFmtId="1" fontId="56" fillId="3" borderId="1" xfId="3" applyNumberFormat="1" applyFont="1" applyFill="1" applyBorder="1" applyAlignment="1">
      <alignment horizontal="center" vertical="center" wrapText="1"/>
    </xf>
    <xf numFmtId="0" fontId="89" fillId="16" borderId="8" xfId="3" applyFont="1" applyFill="1" applyBorder="1" applyAlignment="1">
      <alignment horizontal="center" vertical="center" wrapText="1"/>
    </xf>
    <xf numFmtId="0" fontId="89" fillId="16" borderId="17" xfId="3" applyFont="1" applyFill="1" applyBorder="1" applyAlignment="1">
      <alignment horizontal="center" vertical="center" wrapText="1"/>
    </xf>
    <xf numFmtId="0" fontId="89" fillId="16" borderId="7" xfId="3" applyFont="1" applyFill="1" applyBorder="1" applyAlignment="1">
      <alignment horizontal="center" vertical="center" wrapText="1"/>
    </xf>
    <xf numFmtId="173" fontId="79" fillId="3" borderId="1" xfId="3" applyNumberFormat="1" applyFont="1" applyFill="1" applyBorder="1" applyAlignment="1">
      <alignment horizontal="center" vertical="center"/>
    </xf>
    <xf numFmtId="173" fontId="79" fillId="3" borderId="1" xfId="3" applyNumberFormat="1" applyFont="1" applyFill="1" applyBorder="1" applyAlignment="1">
      <alignment horizontal="center" vertical="center" wrapText="1"/>
    </xf>
    <xf numFmtId="170" fontId="64" fillId="0" borderId="1" xfId="3" applyNumberFormat="1" applyFont="1" applyBorder="1" applyAlignment="1">
      <alignment horizontal="center" vertical="center" wrapText="1"/>
    </xf>
    <xf numFmtId="170" fontId="70" fillId="0" borderId="1" xfId="3" applyNumberFormat="1" applyFont="1" applyBorder="1" applyAlignment="1">
      <alignment horizontal="center" vertical="center" wrapText="1"/>
    </xf>
    <xf numFmtId="172" fontId="82" fillId="0" borderId="1" xfId="3" applyNumberFormat="1" applyFont="1" applyBorder="1" applyAlignment="1">
      <alignment vertical="center" wrapText="1"/>
    </xf>
    <xf numFmtId="176" fontId="79" fillId="23" borderId="1" xfId="3" applyNumberFormat="1" applyFont="1" applyFill="1" applyBorder="1" applyAlignment="1">
      <alignment horizontal="center" vertical="center" wrapText="1"/>
    </xf>
    <xf numFmtId="0" fontId="64" fillId="0" borderId="1" xfId="3" applyFont="1" applyBorder="1" applyAlignment="1">
      <alignment horizontal="center" vertical="center" wrapText="1"/>
    </xf>
    <xf numFmtId="174" fontId="79" fillId="3" borderId="1" xfId="3" applyNumberFormat="1" applyFont="1" applyFill="1" applyBorder="1" applyAlignment="1">
      <alignment horizontal="center" vertical="center" wrapText="1"/>
    </xf>
    <xf numFmtId="174" fontId="81" fillId="3" borderId="1" xfId="3" applyNumberFormat="1" applyFont="1" applyFill="1" applyBorder="1" applyAlignment="1">
      <alignment horizontal="center" vertical="center" wrapText="1"/>
    </xf>
    <xf numFmtId="174" fontId="64" fillId="3" borderId="1" xfId="3" applyNumberFormat="1" applyFont="1" applyFill="1" applyBorder="1" applyAlignment="1">
      <alignment horizontal="left" vertical="center" wrapText="1"/>
    </xf>
    <xf numFmtId="0" fontId="79" fillId="3" borderId="1" xfId="3" applyFont="1" applyFill="1" applyBorder="1" applyAlignment="1">
      <alignment horizontal="center" vertical="center" wrapText="1"/>
    </xf>
    <xf numFmtId="0" fontId="79" fillId="23" borderId="1" xfId="3" applyFont="1" applyFill="1" applyBorder="1" applyAlignment="1">
      <alignment horizontal="center" vertical="center" wrapText="1"/>
    </xf>
    <xf numFmtId="175" fontId="79" fillId="3" borderId="1" xfId="3" applyNumberFormat="1" applyFont="1" applyFill="1" applyBorder="1" applyAlignment="1">
      <alignment horizontal="center" vertical="center" wrapText="1"/>
    </xf>
    <xf numFmtId="173" fontId="79" fillId="21" borderId="1" xfId="3" applyNumberFormat="1" applyFont="1" applyFill="1" applyBorder="1" applyAlignment="1">
      <alignment horizontal="center" vertical="center" wrapText="1"/>
    </xf>
    <xf numFmtId="173" fontId="79" fillId="23" borderId="1" xfId="3" applyNumberFormat="1" applyFont="1" applyFill="1" applyBorder="1" applyAlignment="1">
      <alignment horizontal="center" vertical="center" wrapText="1"/>
    </xf>
    <xf numFmtId="0" fontId="79" fillId="21" borderId="1" xfId="3" applyFont="1" applyFill="1" applyBorder="1" applyAlignment="1">
      <alignment horizontal="center" vertical="center" wrapText="1"/>
    </xf>
    <xf numFmtId="9" fontId="79" fillId="24" borderId="1" xfId="3" applyNumberFormat="1" applyFont="1" applyFill="1" applyBorder="1" applyAlignment="1">
      <alignment horizontal="center" vertical="center" wrapText="1"/>
    </xf>
    <xf numFmtId="0" fontId="79" fillId="24" borderId="1" xfId="3" applyFont="1" applyFill="1" applyBorder="1" applyAlignment="1">
      <alignment horizontal="center" vertical="center" wrapText="1"/>
    </xf>
    <xf numFmtId="182" fontId="79" fillId="3" borderId="1" xfId="3" applyNumberFormat="1" applyFont="1" applyFill="1" applyBorder="1" applyAlignment="1">
      <alignment horizontal="center" vertical="center" wrapText="1"/>
    </xf>
    <xf numFmtId="182" fontId="79" fillId="23" borderId="1" xfId="3" applyNumberFormat="1" applyFont="1" applyFill="1" applyBorder="1" applyAlignment="1">
      <alignment horizontal="center" vertical="center" wrapText="1"/>
    </xf>
    <xf numFmtId="49" fontId="64" fillId="3" borderId="1" xfId="3" applyNumberFormat="1" applyFont="1" applyFill="1" applyBorder="1" applyAlignment="1">
      <alignment horizontal="left" vertical="top" wrapText="1"/>
    </xf>
    <xf numFmtId="0" fontId="78" fillId="0" borderId="4" xfId="3" applyFont="1" applyAlignment="1"/>
    <xf numFmtId="0" fontId="77" fillId="3" borderId="1" xfId="3" applyFont="1" applyFill="1" applyBorder="1"/>
    <xf numFmtId="164" fontId="76" fillId="18" borderId="1" xfId="3" applyNumberFormat="1" applyFont="1" applyFill="1" applyBorder="1" applyAlignment="1">
      <alignment horizontal="center" vertical="center" wrapText="1"/>
    </xf>
    <xf numFmtId="164" fontId="76" fillId="3" borderId="1" xfId="3" applyNumberFormat="1" applyFont="1" applyFill="1" applyBorder="1" applyAlignment="1">
      <alignment horizontal="center" vertical="center" wrapText="1"/>
    </xf>
    <xf numFmtId="173" fontId="76" fillId="3" borderId="1" xfId="3" applyNumberFormat="1" applyFont="1" applyFill="1" applyBorder="1" applyAlignment="1">
      <alignment horizontal="center" vertical="center" wrapText="1"/>
    </xf>
    <xf numFmtId="172" fontId="76" fillId="3" borderId="1" xfId="3" applyNumberFormat="1" applyFont="1" applyFill="1" applyBorder="1" applyAlignment="1">
      <alignment horizontal="left" vertical="center" wrapText="1"/>
    </xf>
    <xf numFmtId="9" fontId="76" fillId="3" borderId="1" xfId="3" applyNumberFormat="1" applyFont="1" applyFill="1" applyBorder="1" applyAlignment="1">
      <alignment horizontal="center" vertical="center" wrapText="1"/>
    </xf>
    <xf numFmtId="9" fontId="88" fillId="3" borderId="1" xfId="3" applyNumberFormat="1" applyFont="1" applyFill="1" applyBorder="1" applyAlignment="1">
      <alignment horizontal="center" vertical="center" wrapText="1"/>
    </xf>
    <xf numFmtId="171" fontId="76" fillId="3" borderId="1" xfId="3" applyNumberFormat="1" applyFont="1" applyFill="1" applyBorder="1" applyAlignment="1">
      <alignment horizontal="center" vertical="center" wrapText="1"/>
    </xf>
    <xf numFmtId="171" fontId="58" fillId="3" borderId="1" xfId="3" applyNumberFormat="1" applyFont="1" applyFill="1" applyBorder="1" applyAlignment="1">
      <alignment horizontal="center" vertical="center" wrapText="1"/>
    </xf>
    <xf numFmtId="171" fontId="60" fillId="3" borderId="1" xfId="3" applyNumberFormat="1" applyFont="1" applyFill="1" applyBorder="1" applyAlignment="1">
      <alignment horizontal="center" vertical="center" wrapText="1"/>
    </xf>
    <xf numFmtId="49" fontId="76" fillId="3" borderId="1" xfId="3" applyNumberFormat="1" applyFont="1" applyFill="1" applyBorder="1" applyAlignment="1">
      <alignment horizontal="center" vertical="center" wrapText="1"/>
    </xf>
    <xf numFmtId="1" fontId="76" fillId="3" borderId="1" xfId="3" applyNumberFormat="1" applyFont="1" applyFill="1" applyBorder="1" applyAlignment="1">
      <alignment horizontal="center" vertical="center" wrapText="1"/>
    </xf>
    <xf numFmtId="172" fontId="64" fillId="19" borderId="1" xfId="3" applyNumberFormat="1" applyFont="1" applyFill="1" applyBorder="1" applyAlignment="1">
      <alignment vertical="center" wrapText="1"/>
    </xf>
    <xf numFmtId="0" fontId="73" fillId="16" borderId="8" xfId="3" applyFont="1" applyFill="1" applyBorder="1" applyAlignment="1">
      <alignment horizontal="center" vertical="center" wrapText="1"/>
    </xf>
    <xf numFmtId="0" fontId="73" fillId="16" borderId="17" xfId="3" applyFont="1" applyFill="1" applyBorder="1" applyAlignment="1">
      <alignment horizontal="center" vertical="center" wrapText="1"/>
    </xf>
    <xf numFmtId="0" fontId="73" fillId="16" borderId="7" xfId="3" applyFont="1" applyFill="1" applyBorder="1" applyAlignment="1">
      <alignment horizontal="center" vertical="center" wrapText="1"/>
    </xf>
    <xf numFmtId="1" fontId="64" fillId="0" borderId="1" xfId="3" applyNumberFormat="1" applyFont="1" applyBorder="1" applyAlignment="1">
      <alignment horizontal="center" vertical="center" wrapText="1"/>
    </xf>
    <xf numFmtId="9" fontId="79" fillId="22" borderId="1" xfId="3" applyNumberFormat="1" applyFont="1" applyFill="1" applyBorder="1" applyAlignment="1">
      <alignment horizontal="center" vertical="center" wrapText="1"/>
    </xf>
    <xf numFmtId="0" fontId="79" fillId="26" borderId="1" xfId="3" applyFont="1" applyFill="1" applyBorder="1" applyAlignment="1">
      <alignment horizontal="center" vertical="center" wrapText="1"/>
    </xf>
    <xf numFmtId="0" fontId="64" fillId="3" borderId="1" xfId="3" applyFont="1" applyFill="1" applyBorder="1" applyAlignment="1">
      <alignment horizontal="left" vertical="center" wrapText="1"/>
    </xf>
    <xf numFmtId="9" fontId="79" fillId="20" borderId="1" xfId="3" applyNumberFormat="1" applyFont="1" applyFill="1" applyBorder="1" applyAlignment="1">
      <alignment horizontal="center" vertical="center" wrapText="1"/>
    </xf>
    <xf numFmtId="0" fontId="57" fillId="16" borderId="8" xfId="3" applyFont="1" applyFill="1" applyBorder="1" applyAlignment="1">
      <alignment horizontal="center" vertical="center" wrapText="1"/>
    </xf>
    <xf numFmtId="0" fontId="57" fillId="16" borderId="17" xfId="3" applyFont="1" applyFill="1" applyBorder="1" applyAlignment="1">
      <alignment horizontal="center" vertical="center" wrapText="1"/>
    </xf>
    <xf numFmtId="0" fontId="57" fillId="16" borderId="7" xfId="3" applyFont="1" applyFill="1" applyBorder="1" applyAlignment="1">
      <alignment horizontal="center" vertical="center" wrapText="1"/>
    </xf>
    <xf numFmtId="9" fontId="79" fillId="14" borderId="1" xfId="3" applyNumberFormat="1" applyFont="1" applyFill="1" applyBorder="1" applyAlignment="1">
      <alignment horizontal="center" vertical="center" wrapText="1"/>
    </xf>
    <xf numFmtId="9" fontId="70" fillId="25" borderId="1" xfId="3" applyNumberFormat="1" applyFont="1" applyFill="1" applyBorder="1" applyAlignment="1">
      <alignment horizontal="center" vertical="center" wrapText="1"/>
    </xf>
    <xf numFmtId="171" fontId="79" fillId="24" borderId="1" xfId="3" applyNumberFormat="1" applyFont="1" applyFill="1" applyBorder="1" applyAlignment="1">
      <alignment horizontal="center" vertical="center" wrapText="1"/>
    </xf>
    <xf numFmtId="172" fontId="82" fillId="3" borderId="1" xfId="3" applyNumberFormat="1" applyFont="1" applyFill="1" applyBorder="1" applyAlignment="1">
      <alignment vertical="center" wrapText="1"/>
    </xf>
    <xf numFmtId="14" fontId="79" fillId="0" borderId="1" xfId="3" applyNumberFormat="1" applyFont="1" applyBorder="1" applyAlignment="1">
      <alignment horizontal="left" vertical="center" wrapText="1"/>
    </xf>
    <xf numFmtId="49" fontId="79" fillId="24" borderId="1" xfId="3" applyNumberFormat="1" applyFont="1" applyFill="1" applyBorder="1" applyAlignment="1">
      <alignment horizontal="center" vertical="center" wrapText="1"/>
    </xf>
    <xf numFmtId="49" fontId="81" fillId="0" borderId="1" xfId="3" applyNumberFormat="1" applyFont="1" applyBorder="1" applyAlignment="1">
      <alignment horizontal="left" vertical="center" wrapText="1"/>
    </xf>
    <xf numFmtId="173" fontId="81" fillId="0" borderId="1" xfId="3" applyNumberFormat="1" applyFont="1" applyBorder="1" applyAlignment="1">
      <alignment horizontal="center" vertical="center" wrapText="1"/>
    </xf>
    <xf numFmtId="181" fontId="79" fillId="3" borderId="1" xfId="3" applyNumberFormat="1" applyFont="1" applyFill="1" applyBorder="1" applyAlignment="1">
      <alignment horizontal="center" vertical="center" wrapText="1"/>
    </xf>
    <xf numFmtId="14" fontId="79" fillId="23" borderId="1" xfId="3" applyNumberFormat="1" applyFont="1" applyFill="1" applyBorder="1" applyAlignment="1">
      <alignment horizontal="center" vertical="center" wrapText="1"/>
    </xf>
    <xf numFmtId="9" fontId="79" fillId="8" borderId="1" xfId="3" applyNumberFormat="1" applyFont="1" applyFill="1" applyBorder="1" applyAlignment="1">
      <alignment horizontal="center" vertical="center" wrapText="1"/>
    </xf>
    <xf numFmtId="176" fontId="79" fillId="21" borderId="1" xfId="3" applyNumberFormat="1" applyFont="1" applyFill="1" applyBorder="1" applyAlignment="1">
      <alignment horizontal="center" vertical="center" wrapText="1"/>
    </xf>
    <xf numFmtId="1" fontId="64" fillId="24" borderId="1" xfId="3" applyNumberFormat="1" applyFont="1" applyFill="1" applyBorder="1" applyAlignment="1">
      <alignment horizontal="center" vertical="center" wrapText="1"/>
    </xf>
    <xf numFmtId="49" fontId="64" fillId="19" borderId="1" xfId="3" applyNumberFormat="1" applyFont="1" applyFill="1" applyBorder="1" applyAlignment="1">
      <alignment horizontal="left" vertical="center" wrapText="1"/>
    </xf>
    <xf numFmtId="1" fontId="79" fillId="3" borderId="1" xfId="3" applyNumberFormat="1" applyFont="1" applyFill="1" applyBorder="1" applyAlignment="1">
      <alignment horizontal="center" vertical="center" wrapText="1"/>
    </xf>
    <xf numFmtId="170" fontId="64" fillId="24" borderId="8" xfId="3" applyNumberFormat="1" applyFont="1" applyFill="1" applyBorder="1" applyAlignment="1">
      <alignment horizontal="center" vertical="center" wrapText="1"/>
    </xf>
    <xf numFmtId="170" fontId="64" fillId="24" borderId="17" xfId="3" applyNumberFormat="1" applyFont="1" applyFill="1" applyBorder="1" applyAlignment="1">
      <alignment horizontal="center" vertical="center" wrapText="1"/>
    </xf>
    <xf numFmtId="170" fontId="64" fillId="24" borderId="7" xfId="3" applyNumberFormat="1" applyFont="1" applyFill="1" applyBorder="1" applyAlignment="1">
      <alignment horizontal="center" vertical="center" wrapText="1"/>
    </xf>
    <xf numFmtId="0" fontId="85" fillId="0" borderId="20" xfId="3" applyFont="1" applyBorder="1"/>
    <xf numFmtId="172" fontId="79" fillId="3" borderId="1" xfId="3" applyNumberFormat="1" applyFont="1" applyFill="1" applyBorder="1" applyAlignment="1">
      <alignment horizontal="center" vertical="center" wrapText="1"/>
    </xf>
    <xf numFmtId="172" fontId="81" fillId="3" borderId="1" xfId="3" applyNumberFormat="1" applyFont="1" applyFill="1" applyBorder="1" applyAlignment="1">
      <alignment horizontal="center" vertical="center" wrapText="1"/>
    </xf>
    <xf numFmtId="180" fontId="81" fillId="3" borderId="1" xfId="3" applyNumberFormat="1" applyFont="1" applyFill="1" applyBorder="1" applyAlignment="1">
      <alignment horizontal="center" vertical="center" wrapText="1"/>
    </xf>
    <xf numFmtId="0" fontId="84" fillId="0" borderId="20" xfId="3" applyFont="1" applyBorder="1"/>
    <xf numFmtId="0" fontId="69" fillId="0" borderId="20" xfId="3" applyFont="1" applyBorder="1"/>
    <xf numFmtId="173" fontId="79" fillId="3" borderId="5" xfId="3" applyNumberFormat="1" applyFont="1" applyFill="1" applyBorder="1" applyAlignment="1">
      <alignment horizontal="center" vertical="center" wrapText="1"/>
    </xf>
    <xf numFmtId="49" fontId="64" fillId="19" borderId="5" xfId="3" applyNumberFormat="1" applyFont="1" applyFill="1" applyBorder="1" applyAlignment="1">
      <alignment horizontal="center" vertical="center" wrapText="1"/>
    </xf>
    <xf numFmtId="1" fontId="62" fillId="3" borderId="5" xfId="3" applyNumberFormat="1" applyFont="1" applyFill="1" applyBorder="1" applyAlignment="1">
      <alignment horizontal="center" vertical="center" wrapText="1"/>
    </xf>
    <xf numFmtId="0" fontId="61" fillId="3" borderId="1" xfId="3" applyFont="1" applyFill="1" applyBorder="1"/>
    <xf numFmtId="164" fontId="57" fillId="18" borderId="1" xfId="3" applyNumberFormat="1" applyFont="1" applyFill="1" applyBorder="1" applyAlignment="1">
      <alignment horizontal="center" vertical="center" wrapText="1"/>
    </xf>
    <xf numFmtId="0" fontId="54" fillId="0" borderId="1" xfId="3" applyFont="1" applyBorder="1"/>
    <xf numFmtId="172" fontId="79" fillId="24" borderId="1" xfId="3" applyNumberFormat="1" applyFont="1" applyFill="1" applyBorder="1" applyAlignment="1">
      <alignment horizontal="center" vertical="center" wrapText="1"/>
    </xf>
    <xf numFmtId="172" fontId="64" fillId="3" borderId="1" xfId="3" applyNumberFormat="1" applyFont="1" applyFill="1" applyBorder="1" applyAlignment="1">
      <alignment horizontal="left" vertical="center" wrapText="1"/>
    </xf>
    <xf numFmtId="9" fontId="70" fillId="20" borderId="1" xfId="3" applyNumberFormat="1" applyFont="1" applyFill="1" applyBorder="1" applyAlignment="1">
      <alignment horizontal="center" vertical="center" wrapText="1"/>
    </xf>
    <xf numFmtId="9" fontId="70" fillId="22" borderId="1" xfId="3" applyNumberFormat="1" applyFont="1" applyFill="1" applyBorder="1" applyAlignment="1">
      <alignment horizontal="center" vertical="center" wrapText="1"/>
    </xf>
    <xf numFmtId="172" fontId="79" fillId="0" borderId="1" xfId="3" applyNumberFormat="1" applyFont="1" applyBorder="1" applyAlignment="1">
      <alignment horizontal="center" vertical="center" wrapText="1"/>
    </xf>
    <xf numFmtId="172" fontId="81" fillId="0" borderId="1" xfId="3" applyNumberFormat="1" applyFont="1" applyBorder="1" applyAlignment="1">
      <alignment horizontal="center" vertical="center" wrapText="1"/>
    </xf>
    <xf numFmtId="175" fontId="79" fillId="21" borderId="1" xfId="3" applyNumberFormat="1" applyFont="1" applyFill="1" applyBorder="1" applyAlignment="1">
      <alignment horizontal="center" vertical="center" wrapText="1"/>
    </xf>
    <xf numFmtId="9" fontId="70" fillId="14" borderId="1" xfId="3" applyNumberFormat="1" applyFont="1" applyFill="1" applyBorder="1" applyAlignment="1">
      <alignment horizontal="center" vertical="center" wrapText="1"/>
    </xf>
    <xf numFmtId="170" fontId="64" fillId="8" borderId="1" xfId="3" applyNumberFormat="1" applyFont="1" applyFill="1" applyBorder="1" applyAlignment="1">
      <alignment horizontal="center" vertical="center" wrapText="1"/>
    </xf>
    <xf numFmtId="179" fontId="81" fillId="0" borderId="1" xfId="3" applyNumberFormat="1" applyFont="1" applyBorder="1" applyAlignment="1">
      <alignment horizontal="center" vertical="center" wrapText="1"/>
    </xf>
    <xf numFmtId="170" fontId="70" fillId="14" borderId="1" xfId="3" applyNumberFormat="1" applyFont="1" applyFill="1" applyBorder="1" applyAlignment="1">
      <alignment horizontal="center" vertical="center" wrapText="1"/>
    </xf>
    <xf numFmtId="177" fontId="81" fillId="3" borderId="1" xfId="3" applyNumberFormat="1" applyFont="1" applyFill="1" applyBorder="1" applyAlignment="1">
      <alignment horizontal="center" vertical="center" wrapText="1"/>
    </xf>
    <xf numFmtId="178" fontId="79" fillId="3" borderId="1" xfId="3" applyNumberFormat="1" applyFont="1" applyFill="1" applyBorder="1" applyAlignment="1">
      <alignment horizontal="center" vertical="center" wrapText="1"/>
    </xf>
    <xf numFmtId="178" fontId="79" fillId="21" borderId="1" xfId="3" applyNumberFormat="1" applyFont="1" applyFill="1" applyBorder="1" applyAlignment="1">
      <alignment horizontal="center" vertical="center" wrapText="1"/>
    </xf>
    <xf numFmtId="170" fontId="70" fillId="20" borderId="1" xfId="3" applyNumberFormat="1" applyFont="1" applyFill="1" applyBorder="1" applyAlignment="1">
      <alignment horizontal="center" vertical="center" wrapText="1"/>
    </xf>
    <xf numFmtId="0" fontId="75" fillId="0" borderId="4" xfId="3" applyFont="1" applyAlignment="1"/>
    <xf numFmtId="0" fontId="74" fillId="0" borderId="1" xfId="3" applyFont="1" applyBorder="1"/>
    <xf numFmtId="14" fontId="79" fillId="3" borderId="1" xfId="3" applyNumberFormat="1" applyFont="1" applyFill="1" applyBorder="1" applyAlignment="1">
      <alignment horizontal="center" vertical="center"/>
    </xf>
    <xf numFmtId="0" fontId="71" fillId="3" borderId="1" xfId="3" applyFont="1" applyFill="1" applyBorder="1"/>
    <xf numFmtId="164" fontId="56" fillId="18" borderId="1" xfId="3" applyNumberFormat="1" applyFont="1" applyFill="1" applyBorder="1" applyAlignment="1">
      <alignment horizontal="center" vertical="center" wrapText="1"/>
    </xf>
    <xf numFmtId="164" fontId="56" fillId="3" borderId="1" xfId="3" applyNumberFormat="1" applyFont="1" applyFill="1" applyBorder="1" applyAlignment="1">
      <alignment horizontal="center" vertical="center" wrapText="1"/>
    </xf>
    <xf numFmtId="173" fontId="56" fillId="3" borderId="1" xfId="3" applyNumberFormat="1" applyFont="1" applyFill="1" applyBorder="1" applyAlignment="1">
      <alignment horizontal="center" vertical="center" wrapText="1"/>
    </xf>
    <xf numFmtId="172" fontId="56" fillId="3" borderId="1" xfId="3" applyNumberFormat="1" applyFont="1" applyFill="1" applyBorder="1" applyAlignment="1">
      <alignment horizontal="left" vertical="center" wrapText="1"/>
    </xf>
    <xf numFmtId="171" fontId="56" fillId="3" borderId="1" xfId="3" applyNumberFormat="1" applyFont="1" applyFill="1" applyBorder="1" applyAlignment="1">
      <alignment horizontal="center" vertical="center" wrapText="1"/>
    </xf>
    <xf numFmtId="9" fontId="56" fillId="3" borderId="1" xfId="3" applyNumberFormat="1" applyFont="1" applyFill="1" applyBorder="1" applyAlignment="1">
      <alignment horizontal="center" vertical="center" wrapText="1"/>
    </xf>
    <xf numFmtId="49" fontId="56" fillId="3" borderId="1" xfId="3" applyNumberFormat="1" applyFont="1" applyFill="1" applyBorder="1" applyAlignment="1">
      <alignment horizontal="center" vertical="center" wrapText="1"/>
    </xf>
    <xf numFmtId="0" fontId="68" fillId="0" borderId="4" xfId="3" applyFont="1" applyAlignment="1"/>
    <xf numFmtId="0" fontId="67" fillId="0" borderId="1" xfId="3" applyFont="1" applyBorder="1"/>
    <xf numFmtId="174" fontId="63" fillId="18" borderId="7" xfId="3" applyNumberFormat="1" applyFont="1" applyFill="1" applyBorder="1" applyAlignment="1">
      <alignment horizontal="center" vertical="center" wrapText="1"/>
    </xf>
    <xf numFmtId="174" fontId="63" fillId="0" borderId="7" xfId="3" applyNumberFormat="1" applyFont="1" applyBorder="1" applyAlignment="1">
      <alignment horizontal="center" vertical="center" wrapText="1"/>
    </xf>
    <xf numFmtId="1" fontId="63" fillId="0" borderId="1" xfId="3" applyNumberFormat="1" applyFont="1" applyBorder="1" applyAlignment="1">
      <alignment horizontal="center" vertical="center" wrapText="1"/>
    </xf>
    <xf numFmtId="1" fontId="63" fillId="3" borderId="1" xfId="3" applyNumberFormat="1" applyFont="1" applyFill="1" applyBorder="1" applyAlignment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0" fontId="63" fillId="0" borderId="20" xfId="3" applyFont="1" applyBorder="1" applyAlignment="1">
      <alignment horizontal="center" vertical="center" wrapText="1"/>
    </xf>
    <xf numFmtId="9" fontId="63" fillId="0" borderId="20" xfId="3" applyNumberFormat="1" applyFont="1" applyBorder="1" applyAlignment="1">
      <alignment horizontal="center" vertical="center" wrapText="1"/>
    </xf>
    <xf numFmtId="0" fontId="63" fillId="3" borderId="20" xfId="3" applyFont="1" applyFill="1" applyBorder="1" applyAlignment="1">
      <alignment horizontal="center" vertical="center" wrapText="1"/>
    </xf>
    <xf numFmtId="0" fontId="70" fillId="0" borderId="20" xfId="3" applyFont="1" applyBorder="1" applyAlignment="1">
      <alignment horizontal="center" vertical="center" wrapText="1"/>
    </xf>
    <xf numFmtId="0" fontId="62" fillId="3" borderId="1" xfId="3" applyFont="1" applyFill="1" applyBorder="1" applyAlignment="1">
      <alignment horizontal="center" vertical="center" wrapText="1"/>
    </xf>
    <xf numFmtId="0" fontId="63" fillId="0" borderId="18" xfId="3" applyFont="1" applyBorder="1" applyAlignment="1">
      <alignment horizontal="center" vertical="center" wrapText="1"/>
    </xf>
    <xf numFmtId="9" fontId="63" fillId="0" borderId="18" xfId="3" applyNumberFormat="1" applyFont="1" applyBorder="1" applyAlignment="1">
      <alignment horizontal="center" vertical="center" wrapText="1"/>
    </xf>
    <xf numFmtId="0" fontId="63" fillId="3" borderId="18" xfId="3" applyFont="1" applyFill="1" applyBorder="1" applyAlignment="1">
      <alignment horizontal="center" vertical="center" wrapText="1"/>
    </xf>
    <xf numFmtId="0" fontId="70" fillId="0" borderId="18" xfId="3" applyFont="1" applyBorder="1" applyAlignment="1">
      <alignment horizontal="center" vertical="center" wrapText="1"/>
    </xf>
    <xf numFmtId="0" fontId="65" fillId="0" borderId="19" xfId="3" applyFont="1" applyBorder="1"/>
    <xf numFmtId="0" fontId="65" fillId="0" borderId="14" xfId="3" applyFont="1" applyBorder="1"/>
    <xf numFmtId="0" fontId="69" fillId="0" borderId="18" xfId="3" applyFont="1" applyBorder="1"/>
    <xf numFmtId="164" fontId="66" fillId="18" borderId="1" xfId="3" applyNumberFormat="1" applyFont="1" applyFill="1" applyBorder="1" applyAlignment="1">
      <alignment horizontal="center" vertical="center" wrapText="1"/>
    </xf>
    <xf numFmtId="0" fontId="63" fillId="0" borderId="5" xfId="3" applyFont="1" applyBorder="1" applyAlignment="1">
      <alignment horizontal="center" vertical="center" wrapText="1"/>
    </xf>
    <xf numFmtId="9" fontId="63" fillId="0" borderId="5" xfId="3" applyNumberFormat="1" applyFont="1" applyBorder="1" applyAlignment="1">
      <alignment horizontal="center" vertical="center" wrapText="1"/>
    </xf>
    <xf numFmtId="0" fontId="63" fillId="3" borderId="5" xfId="3" applyFont="1" applyFill="1" applyBorder="1" applyAlignment="1">
      <alignment horizontal="center" vertical="center" wrapText="1"/>
    </xf>
    <xf numFmtId="0" fontId="65" fillId="0" borderId="15" xfId="3" applyFont="1" applyBorder="1"/>
    <xf numFmtId="0" fontId="63" fillId="0" borderId="13" xfId="3" applyFont="1" applyBorder="1" applyAlignment="1">
      <alignment horizontal="center" vertical="center" wrapText="1"/>
    </xf>
    <xf numFmtId="0" fontId="62" fillId="3" borderId="5" xfId="3" applyFont="1" applyFill="1" applyBorder="1" applyAlignment="1">
      <alignment horizontal="center" vertical="center" wrapText="1"/>
    </xf>
    <xf numFmtId="0" fontId="61" fillId="17" borderId="1" xfId="3" applyFont="1" applyFill="1" applyBorder="1"/>
    <xf numFmtId="164" fontId="57" fillId="17" borderId="1" xfId="3" applyNumberFormat="1" applyFont="1" applyFill="1" applyBorder="1" applyAlignment="1">
      <alignment horizontal="center" vertical="center" wrapText="1"/>
    </xf>
    <xf numFmtId="173" fontId="57" fillId="17" borderId="1" xfId="3" applyNumberFormat="1" applyFont="1" applyFill="1" applyBorder="1" applyAlignment="1">
      <alignment horizontal="center" vertical="center" wrapText="1"/>
    </xf>
    <xf numFmtId="172" fontId="57" fillId="17" borderId="1" xfId="3" applyNumberFormat="1" applyFont="1" applyFill="1" applyBorder="1" applyAlignment="1">
      <alignment horizontal="left" vertical="center" wrapText="1"/>
    </xf>
    <xf numFmtId="9" fontId="57" fillId="17" borderId="1" xfId="3" applyNumberFormat="1" applyFont="1" applyFill="1" applyBorder="1" applyAlignment="1">
      <alignment horizontal="center" vertical="center" wrapText="1"/>
    </xf>
    <xf numFmtId="171" fontId="57" fillId="17" borderId="1" xfId="3" applyNumberFormat="1" applyFont="1" applyFill="1" applyBorder="1" applyAlignment="1">
      <alignment horizontal="center" vertical="center" wrapText="1"/>
    </xf>
    <xf numFmtId="171" fontId="58" fillId="17" borderId="1" xfId="3" applyNumberFormat="1" applyFont="1" applyFill="1" applyBorder="1" applyAlignment="1">
      <alignment horizontal="center" vertical="center" wrapText="1"/>
    </xf>
    <xf numFmtId="171" fontId="60" fillId="17" borderId="1" xfId="3" applyNumberFormat="1" applyFont="1" applyFill="1" applyBorder="1" applyAlignment="1">
      <alignment horizontal="center" vertical="center" wrapText="1"/>
    </xf>
    <xf numFmtId="171" fontId="59" fillId="17" borderId="1" xfId="3" applyNumberFormat="1" applyFont="1" applyFill="1" applyBorder="1" applyAlignment="1">
      <alignment horizontal="center" vertical="center" wrapText="1"/>
    </xf>
    <xf numFmtId="49" fontId="58" fillId="17" borderId="1" xfId="3" applyNumberFormat="1" applyFont="1" applyFill="1" applyBorder="1" applyAlignment="1">
      <alignment horizontal="left" vertical="center" wrapText="1"/>
    </xf>
    <xf numFmtId="49" fontId="57" fillId="17" borderId="1" xfId="3" applyNumberFormat="1" applyFont="1" applyFill="1" applyBorder="1" applyAlignment="1">
      <alignment horizontal="center" vertical="center" wrapText="1"/>
    </xf>
    <xf numFmtId="1" fontId="57" fillId="17" borderId="1" xfId="3" applyNumberFormat="1" applyFont="1" applyFill="1" applyBorder="1" applyAlignment="1">
      <alignment horizontal="center" vertical="center" wrapText="1"/>
    </xf>
    <xf numFmtId="49" fontId="56" fillId="17" borderId="1" xfId="3" applyNumberFormat="1" applyFont="1" applyFill="1" applyBorder="1" applyAlignment="1">
      <alignment horizontal="center" vertical="center" wrapText="1"/>
    </xf>
    <xf numFmtId="0" fontId="53" fillId="16" borderId="8" xfId="3" applyFont="1" applyFill="1" applyBorder="1" applyAlignment="1">
      <alignment horizontal="center" vertical="center" wrapText="1"/>
    </xf>
    <xf numFmtId="0" fontId="53" fillId="16" borderId="17" xfId="3" applyFont="1" applyFill="1" applyBorder="1" applyAlignment="1">
      <alignment horizontal="center" vertical="center" wrapText="1"/>
    </xf>
    <xf numFmtId="0" fontId="53" fillId="16" borderId="7" xfId="3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3"/>
    <cellStyle name="Процентный" xfId="1" builtinId="5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zakupki.gov.ru/epz/contract/contractCard/common-info.html?reestrNumber=2502415352725000171" TargetMode="External"/><Relationship Id="rId21" Type="http://schemas.openxmlformats.org/officeDocument/2006/relationships/hyperlink" Target="https://zakupki.gov.ru/epz/contract/contractCard/common-info.html?reestrNumber=2502415352725000022" TargetMode="External"/><Relationship Id="rId42" Type="http://schemas.openxmlformats.org/officeDocument/2006/relationships/hyperlink" Target="https://zakupki.gov.ru/epz/contract/contractCard/common-info.html?reestrNumber=2502415352725000136" TargetMode="External"/><Relationship Id="rId47" Type="http://schemas.openxmlformats.org/officeDocument/2006/relationships/hyperlink" Target="https://zakupki.gov.ru/epz/contract/contractCard/common-info.html?reestrNumber=2502415352725000006" TargetMode="External"/><Relationship Id="rId63" Type="http://schemas.openxmlformats.org/officeDocument/2006/relationships/hyperlink" Target="https://zakupki.gov.ru/epz/contract/contractCard/common-info.html?reestrNumber=2502415352725000113" TargetMode="External"/><Relationship Id="rId68" Type="http://schemas.openxmlformats.org/officeDocument/2006/relationships/hyperlink" Target="https://zakupki.gov.ru/epz/contract/contractCard/common-info.html?reestrNumber=2502415352725000130" TargetMode="External"/><Relationship Id="rId7" Type="http://schemas.openxmlformats.org/officeDocument/2006/relationships/hyperlink" Target="https://zakupki.gov.ru/epz/contract/contractCard/common-info.html?reestrNumber=2502415352725000087" TargetMode="External"/><Relationship Id="rId2" Type="http://schemas.openxmlformats.org/officeDocument/2006/relationships/hyperlink" Target="https://zakupki.gov.ru/epz/contract/contractCard/common-info.html?reestrNumber=2502415352725000010" TargetMode="External"/><Relationship Id="rId16" Type="http://schemas.openxmlformats.org/officeDocument/2006/relationships/hyperlink" Target="https://zakupki.gov.ru/epz/contract/contractCard/common-info.html?reestrNumber=2502415352725000021" TargetMode="External"/><Relationship Id="rId29" Type="http://schemas.openxmlformats.org/officeDocument/2006/relationships/hyperlink" Target="https://zakupki.gov.ru/epz/contract/contractCard/common-info.html?reestrNumber=2502415352726000023" TargetMode="External"/><Relationship Id="rId11" Type="http://schemas.openxmlformats.org/officeDocument/2006/relationships/hyperlink" Target="https://zakupki.gov.ru/epz/contract/contractCard/common-info.html?reestrNumber=3503221929923000030" TargetMode="External"/><Relationship Id="rId24" Type="http://schemas.openxmlformats.org/officeDocument/2006/relationships/hyperlink" Target="https://zakupki.gov.ru/epz/contract/contractCard/common-info.html?reestrNumber=2502415352725000009" TargetMode="External"/><Relationship Id="rId32" Type="http://schemas.openxmlformats.org/officeDocument/2006/relationships/hyperlink" Target="https://zakupki.gov.ru/epz/contract/contractCard/common-info.html?reestrNumber=2502415352725000107" TargetMode="External"/><Relationship Id="rId37" Type="http://schemas.openxmlformats.org/officeDocument/2006/relationships/hyperlink" Target="https://zakupki.gov.ru/epz/contract/contractCard/common-info.html?reestrNumber=2502415352724000094" TargetMode="External"/><Relationship Id="rId40" Type="http://schemas.openxmlformats.org/officeDocument/2006/relationships/hyperlink" Target="https://zakupki.gov.ru/epz/contract/contractCard/common-info.html?reestrNumber=2502415352725000139" TargetMode="External"/><Relationship Id="rId45" Type="http://schemas.openxmlformats.org/officeDocument/2006/relationships/hyperlink" Target="https://zakupki.gov.ru/epz/contract/contractCard/common-info.html?reestrNumber=2502415352725000084" TargetMode="External"/><Relationship Id="rId53" Type="http://schemas.openxmlformats.org/officeDocument/2006/relationships/hyperlink" Target="https://zakupki.gov.ru/epz/contract/contractCard/common-info.html?reestrNumber=2502415352725000079" TargetMode="External"/><Relationship Id="rId58" Type="http://schemas.openxmlformats.org/officeDocument/2006/relationships/hyperlink" Target="https://zakupki.gov.ru/epz/contract/contractCard/common-info.html?reestrNumber=2502415352725000098" TargetMode="External"/><Relationship Id="rId66" Type="http://schemas.openxmlformats.org/officeDocument/2006/relationships/hyperlink" Target="https://zakupki.gov.ru/epz/contract/contractCard/common-info.html?reestrNumber=2502415352724000080" TargetMode="External"/><Relationship Id="rId5" Type="http://schemas.openxmlformats.org/officeDocument/2006/relationships/hyperlink" Target="https://zakupki.gov.ru/epz/contract/contractCard/common-info.html?reestrNumber=2502415352724000101" TargetMode="External"/><Relationship Id="rId61" Type="http://schemas.openxmlformats.org/officeDocument/2006/relationships/hyperlink" Target="https://zakupki.gov.ru/epz/contract/contractCard/common-info.html?reestrNumber=2502415352725000011" TargetMode="External"/><Relationship Id="rId19" Type="http://schemas.openxmlformats.org/officeDocument/2006/relationships/hyperlink" Target="https://zakupki.gov.ru/epz/contract/contractCard/common-info.html?reestrNumber=2502415352722000061" TargetMode="External"/><Relationship Id="rId14" Type="http://schemas.openxmlformats.org/officeDocument/2006/relationships/hyperlink" Target="https://zakupki.gov.ru/epz/contract/contractCard/common-info.html?reestrNumber=2502415352724000116" TargetMode="External"/><Relationship Id="rId22" Type="http://schemas.openxmlformats.org/officeDocument/2006/relationships/hyperlink" Target="https://zakupki.gov.ru/epz/contract/contractCard/common-info.html?reestrNumber=2502415352724000010" TargetMode="External"/><Relationship Id="rId27" Type="http://schemas.openxmlformats.org/officeDocument/2006/relationships/hyperlink" Target="https://zakupki.gov.ru/epz/contract/contractCard/common-info.html?reestrNumber=2502415352725000102" TargetMode="External"/><Relationship Id="rId30" Type="http://schemas.openxmlformats.org/officeDocument/2006/relationships/hyperlink" Target="https://zakupki.gov.ru/epz/contract/contractCard/common-info.html?reestrNumber=2502415352725000117" TargetMode="External"/><Relationship Id="rId35" Type="http://schemas.openxmlformats.org/officeDocument/2006/relationships/hyperlink" Target="https://zakupki.gov.ru/epz/contract/contractCard/common-info.html?reestrNumber=2502415352724000083" TargetMode="External"/><Relationship Id="rId43" Type="http://schemas.openxmlformats.org/officeDocument/2006/relationships/hyperlink" Target="https://zakupki.gov.ru/epz/contract/contractCard/common-info.html?reestrNumber=2502415352724000076" TargetMode="External"/><Relationship Id="rId48" Type="http://schemas.openxmlformats.org/officeDocument/2006/relationships/hyperlink" Target="https://zakupki.gov.ru/epz/contract/contractCard/common-info.html?reestrNumber=2502415352722000065" TargetMode="External"/><Relationship Id="rId56" Type="http://schemas.openxmlformats.org/officeDocument/2006/relationships/hyperlink" Target="https://zakupki.gov.ru/epz/contract/contractCard/common-info.html?reestrNumber=2502415352725000101" TargetMode="External"/><Relationship Id="rId64" Type="http://schemas.openxmlformats.org/officeDocument/2006/relationships/hyperlink" Target="https://zakupki.gov.ru/epz/contract/contractCard/common-info.html?reestrNumber=2502415352725000105" TargetMode="External"/><Relationship Id="rId69" Type="http://schemas.openxmlformats.org/officeDocument/2006/relationships/printerSettings" Target="../printerSettings/printerSettings9.bin"/><Relationship Id="rId8" Type="http://schemas.openxmlformats.org/officeDocument/2006/relationships/hyperlink" Target="https://zakupki.gov.ru/epz/contract/contractCard/common-info.html?reestrNumber=2502415352725000172" TargetMode="External"/><Relationship Id="rId51" Type="http://schemas.openxmlformats.org/officeDocument/2006/relationships/hyperlink" Target="https://zakupki.gov.ru/epz/contract/contractCard/common-info.html?reestrNumber=2502415352725000075" TargetMode="External"/><Relationship Id="rId3" Type="http://schemas.openxmlformats.org/officeDocument/2006/relationships/hyperlink" Target="https://zakupki.gov.ru/epz/contract/contractCard/common-info.html?reestrNumber=2502415352724000018" TargetMode="External"/><Relationship Id="rId12" Type="http://schemas.openxmlformats.org/officeDocument/2006/relationships/hyperlink" Target="https://zakupki.gov.ru/epz/contract/contractCard/common-info.html?reestrNumber=2502415352724000108" TargetMode="External"/><Relationship Id="rId17" Type="http://schemas.openxmlformats.org/officeDocument/2006/relationships/hyperlink" Target="https://zakupki.gov.ru/epz/contract/contractCard/common-info.html?reestrNumber=2502415352724000003" TargetMode="External"/><Relationship Id="rId25" Type="http://schemas.openxmlformats.org/officeDocument/2006/relationships/hyperlink" Target="https://zakupki.gov.ru/epz/contract/contractCard/common-info.html?reestrNumber=2502415352722000059" TargetMode="External"/><Relationship Id="rId33" Type="http://schemas.openxmlformats.org/officeDocument/2006/relationships/hyperlink" Target="https://zakupki.gov.ru/epz/contract/contractCard/common-info.html?reestrNumber=2502415352724000081" TargetMode="External"/><Relationship Id="rId38" Type="http://schemas.openxmlformats.org/officeDocument/2006/relationships/hyperlink" Target="https://zakupki.gov.ru/epz/contract/contractCard/common-info.html?reestrNumber=2502415352724000118" TargetMode="External"/><Relationship Id="rId46" Type="http://schemas.openxmlformats.org/officeDocument/2006/relationships/hyperlink" Target="https://zakupki.gov.ru/epz/contract/contractCard/common-info.html?reestrNumber=2502415352726000014" TargetMode="External"/><Relationship Id="rId59" Type="http://schemas.openxmlformats.org/officeDocument/2006/relationships/hyperlink" Target="https://zakupki.gov.ru/epz/contract/contractCard/common-info.html?reestrNumber=2502415352725000106" TargetMode="External"/><Relationship Id="rId67" Type="http://schemas.openxmlformats.org/officeDocument/2006/relationships/hyperlink" Target="https://zakupki.gov.ru/epz/contract/contractCard/common-info.html?reestrNumber=2502415352726000015" TargetMode="External"/><Relationship Id="rId20" Type="http://schemas.openxmlformats.org/officeDocument/2006/relationships/hyperlink" Target="https://zakupki.gov.ru/epz/contract/contractCard/common-info.html?reestrNumber=2502415352725000086" TargetMode="External"/><Relationship Id="rId41" Type="http://schemas.openxmlformats.org/officeDocument/2006/relationships/hyperlink" Target="https://zakupki.gov.ru/epz/contract/contractCard/common-info.html?reestrNumber=2502415352722000058" TargetMode="External"/><Relationship Id="rId54" Type="http://schemas.openxmlformats.org/officeDocument/2006/relationships/hyperlink" Target="https://zakupki.gov.ru/epz/contract/contractCard/common-info.html?reestrNumber=2502415352725000083" TargetMode="External"/><Relationship Id="rId62" Type="http://schemas.openxmlformats.org/officeDocument/2006/relationships/hyperlink" Target="https://zakupki.gov.ru/epz/contract/contractCard/common-info.html?reestrNumber=2502415352724000075" TargetMode="External"/><Relationship Id="rId1" Type="http://schemas.openxmlformats.org/officeDocument/2006/relationships/hyperlink" Target="https://zakupki.gov.ru/epz/contract/contractCard/common-info.html?reestrNumber=2502415352722000101" TargetMode="External"/><Relationship Id="rId6" Type="http://schemas.openxmlformats.org/officeDocument/2006/relationships/hyperlink" Target="https://zakupki.gov.ru/epz/contract/contractCard/common-info.html?reestrNumber=2502415352724000104" TargetMode="External"/><Relationship Id="rId15" Type="http://schemas.openxmlformats.org/officeDocument/2006/relationships/hyperlink" Target="https://zakupki.gov.ru/epz/contract/contractCard/common-info.html?reestrNumber=2502415352725000014" TargetMode="External"/><Relationship Id="rId23" Type="http://schemas.openxmlformats.org/officeDocument/2006/relationships/hyperlink" Target="https://zakupki.gov.ru/epz/contract/contractCard/common-info.html?reestrNumber=2502415352725000100" TargetMode="External"/><Relationship Id="rId28" Type="http://schemas.openxmlformats.org/officeDocument/2006/relationships/hyperlink" Target="https://zakupki.gov.ru/epz/contract/contractCard/common-info.html?reestrNumber=2502415352725000116" TargetMode="External"/><Relationship Id="rId36" Type="http://schemas.openxmlformats.org/officeDocument/2006/relationships/hyperlink" Target="https://zakupki.gov.ru/epz/contract/contractCard/common-info.html?reestrNumber=2502415352724000095" TargetMode="External"/><Relationship Id="rId49" Type="http://schemas.openxmlformats.org/officeDocument/2006/relationships/hyperlink" Target="https://zakupki.gov.ru/epz/contract/contractCard/common-info.html?reestrNumber=2502415352726000036" TargetMode="External"/><Relationship Id="rId57" Type="http://schemas.openxmlformats.org/officeDocument/2006/relationships/hyperlink" Target="https://zakupki.gov.ru/epz/contract/contractCard/common-info.html?reestrNumber=2502415352725000104" TargetMode="External"/><Relationship Id="rId10" Type="http://schemas.openxmlformats.org/officeDocument/2006/relationships/hyperlink" Target="https://zakupki.gov.ru/epz/contract/contractCard/common-info.html?reestrNumber=2502415352724000111" TargetMode="External"/><Relationship Id="rId31" Type="http://schemas.openxmlformats.org/officeDocument/2006/relationships/hyperlink" Target="https://zakupki.gov.ru/epz/contract/contractCard/common-info.html?reestrNumber=2502415352725000071" TargetMode="External"/><Relationship Id="rId44" Type="http://schemas.openxmlformats.org/officeDocument/2006/relationships/hyperlink" Target="https://zakupki.gov.ru/epz/contract/contractCard/common-info.html?reestrNumber=2502415352725000016" TargetMode="External"/><Relationship Id="rId52" Type="http://schemas.openxmlformats.org/officeDocument/2006/relationships/hyperlink" Target="https://zakupki.gov.ru/epz/contract/contractCard/common-info.html?reestrNumber=2502415352722000093" TargetMode="External"/><Relationship Id="rId60" Type="http://schemas.openxmlformats.org/officeDocument/2006/relationships/hyperlink" Target="https://zakupki.gov.ru/epz/contract/contractCard/common-info.html?reestrNumber=2502415352725000012" TargetMode="External"/><Relationship Id="rId65" Type="http://schemas.openxmlformats.org/officeDocument/2006/relationships/hyperlink" Target="https://zakupki.gov.ru/epz/contract/contractCard/common-info.html?reestrNumber=2502415352725000013" TargetMode="External"/><Relationship Id="rId4" Type="http://schemas.openxmlformats.org/officeDocument/2006/relationships/hyperlink" Target="https://zakupki.gov.ru/epz/contract/contractCard/common-info.html?reestrNumber=2502415352724000077" TargetMode="External"/><Relationship Id="rId9" Type="http://schemas.openxmlformats.org/officeDocument/2006/relationships/hyperlink" Target="https://zakupki.gov.ru/epz/contract/contractCard/common-info.html?reestrNumber=2502415352724000105" TargetMode="External"/><Relationship Id="rId13" Type="http://schemas.openxmlformats.org/officeDocument/2006/relationships/hyperlink" Target="https://zakupki.gov.ru/epz/contract/contractCard/common-info.html?reestrNumber=2502415352724000097" TargetMode="External"/><Relationship Id="rId18" Type="http://schemas.openxmlformats.org/officeDocument/2006/relationships/hyperlink" Target="https://zakupki.gov.ru/epz/contract/contractCard/common-info.html?reestrNumber=2502415352725000114" TargetMode="External"/><Relationship Id="rId39" Type="http://schemas.openxmlformats.org/officeDocument/2006/relationships/hyperlink" Target="https://zakupki.gov.ru/epz/contract/contractCard/common-info.html?reestrNumber=2502415352725000151" TargetMode="External"/><Relationship Id="rId34" Type="http://schemas.openxmlformats.org/officeDocument/2006/relationships/hyperlink" Target="https://zakupki.gov.ru/epz/contract/contractCard/common-info.html?reestrNumber=2502415352724000088" TargetMode="External"/><Relationship Id="rId50" Type="http://schemas.openxmlformats.org/officeDocument/2006/relationships/hyperlink" Target="https://zakupki.gov.ru/epz/contract/contractCard/common-info.html?reestrNumber=2502415352725000170" TargetMode="External"/><Relationship Id="rId55" Type="http://schemas.openxmlformats.org/officeDocument/2006/relationships/hyperlink" Target="https://zakupki.gov.ru/epz/contract/contractCard/common-info.html?reestrNumber=2502415352725000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X983"/>
  <sheetViews>
    <sheetView zoomScale="30" zoomScaleNormal="30" workbookViewId="0">
      <pane ySplit="4" topLeftCell="A14" activePane="bottomLeft" state="frozen"/>
      <selection pane="bottomLeft" activeCell="L30" sqref="L30"/>
    </sheetView>
  </sheetViews>
  <sheetFormatPr defaultColWidth="12.5703125" defaultRowHeight="15" customHeight="1" x14ac:dyDescent="0.5"/>
  <cols>
    <col min="1" max="1" width="25" customWidth="1"/>
    <col min="2" max="2" width="7.85546875" hidden="1" customWidth="1"/>
    <col min="3" max="3" width="15.5703125" customWidth="1"/>
    <col min="4" max="4" width="52.28515625" style="38" customWidth="1"/>
    <col min="5" max="5" width="40.7109375" customWidth="1"/>
    <col min="6" max="6" width="29.5703125" customWidth="1"/>
    <col min="7" max="7" width="74.85546875" hidden="1" customWidth="1"/>
    <col min="8" max="8" width="61.28515625" hidden="1" customWidth="1"/>
    <col min="9" max="9" width="25.5703125" hidden="1" customWidth="1"/>
    <col min="10" max="10" width="45.5703125" style="24" customWidth="1"/>
    <col min="11" max="11" width="24.5703125" style="24" customWidth="1"/>
    <col min="12" max="12" width="38.85546875" customWidth="1"/>
    <col min="13" max="13" width="26.5703125" customWidth="1"/>
    <col min="14" max="14" width="42.28515625" customWidth="1"/>
    <col min="15" max="15" width="39.85546875" customWidth="1"/>
    <col min="16" max="16" width="45.7109375" customWidth="1"/>
    <col min="17" max="17" width="22.42578125" customWidth="1"/>
    <col min="18" max="18" width="44.140625" customWidth="1"/>
    <col min="19" max="19" width="31.5703125" customWidth="1"/>
    <col min="20" max="20" width="40.5703125" hidden="1" customWidth="1"/>
    <col min="21" max="21" width="35.5703125" customWidth="1"/>
    <col min="22" max="22" width="35.28515625" hidden="1" customWidth="1"/>
    <col min="23" max="23" width="38.7109375" customWidth="1"/>
    <col min="24" max="24" width="13.7109375" customWidth="1"/>
  </cols>
  <sheetData>
    <row r="1" spans="1:24" ht="75.75" customHeight="1" x14ac:dyDescent="0.5">
      <c r="A1" s="1"/>
      <c r="B1" s="1"/>
      <c r="W1" s="11" t="s">
        <v>213</v>
      </c>
    </row>
    <row r="2" spans="1:24" ht="73.5" customHeight="1" x14ac:dyDescent="0.2">
      <c r="D2" s="39"/>
      <c r="E2" s="12"/>
      <c r="F2" s="12"/>
      <c r="G2" s="12"/>
      <c r="H2" s="12"/>
      <c r="I2" s="12"/>
      <c r="J2" s="12"/>
      <c r="K2" s="2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4" ht="194.25" customHeight="1" x14ac:dyDescent="0.2">
      <c r="B3" s="16"/>
      <c r="C3" s="245" t="s">
        <v>233</v>
      </c>
      <c r="D3" s="247" t="s">
        <v>214</v>
      </c>
      <c r="E3" s="27" t="s">
        <v>215</v>
      </c>
      <c r="F3" s="27" t="s">
        <v>216</v>
      </c>
      <c r="G3" s="27" t="s">
        <v>217</v>
      </c>
      <c r="H3" s="27" t="s">
        <v>218</v>
      </c>
      <c r="I3" s="27" t="s">
        <v>219</v>
      </c>
      <c r="J3" s="27" t="s">
        <v>7</v>
      </c>
      <c r="K3" s="27" t="s">
        <v>234</v>
      </c>
      <c r="L3" s="27" t="s">
        <v>223</v>
      </c>
      <c r="M3" s="27" t="s">
        <v>224</v>
      </c>
      <c r="N3" s="27" t="s">
        <v>9</v>
      </c>
      <c r="O3" s="27" t="s">
        <v>225</v>
      </c>
      <c r="P3" s="27" t="s">
        <v>220</v>
      </c>
      <c r="Q3" s="27" t="s">
        <v>221</v>
      </c>
      <c r="R3" s="27" t="s">
        <v>222</v>
      </c>
      <c r="S3" s="27" t="s">
        <v>2</v>
      </c>
      <c r="T3" s="27" t="s">
        <v>12</v>
      </c>
      <c r="U3" s="58" t="s">
        <v>240</v>
      </c>
      <c r="V3" s="27" t="s">
        <v>13</v>
      </c>
      <c r="W3" s="58" t="s">
        <v>241</v>
      </c>
    </row>
    <row r="4" spans="1:24" ht="115.5" customHeight="1" x14ac:dyDescent="0.2">
      <c r="B4" s="16"/>
      <c r="C4" s="246"/>
      <c r="D4" s="248"/>
      <c r="E4" s="28">
        <f>SUM(E5:E32)</f>
        <v>241107741.27315995</v>
      </c>
      <c r="F4" s="28">
        <f>SUM(F5:F32)</f>
        <v>104</v>
      </c>
      <c r="G4" s="27"/>
      <c r="H4" s="27"/>
      <c r="I4" s="27"/>
      <c r="J4" s="28">
        <f>SUM(J5:J32)</f>
        <v>92630820.009910017</v>
      </c>
      <c r="K4" s="29">
        <f>J4/E4</f>
        <v>0.38418849399350102</v>
      </c>
      <c r="L4" s="28">
        <f>SUM(L5:L32)</f>
        <v>74879145.184399962</v>
      </c>
      <c r="M4" s="30">
        <f>L4/J4</f>
        <v>0.80836103120310376</v>
      </c>
      <c r="N4" s="28">
        <f>SUM(N5:N32)</f>
        <v>44838965.46371001</v>
      </c>
      <c r="O4" s="30">
        <f>N4/L4</f>
        <v>0.59881780639039117</v>
      </c>
      <c r="P4" s="28">
        <f>SUM(P5:P32)</f>
        <v>117966291.17774996</v>
      </c>
      <c r="Q4" s="30">
        <f>P4/E4</f>
        <v>0.48926795363281828</v>
      </c>
      <c r="R4" s="28">
        <f>SUM(R5:R32)</f>
        <v>73314369.142159998</v>
      </c>
      <c r="S4" s="30">
        <f>R4/E4</f>
        <v>0.30407306192255112</v>
      </c>
      <c r="T4" s="28">
        <f>SUM(T5:T32)</f>
        <v>17919909.911520004</v>
      </c>
      <c r="U4" s="28">
        <f>SUM(U5:U32)</f>
        <v>28197120.899540719</v>
      </c>
      <c r="V4" s="28">
        <f>SUM(V5:V32)</f>
        <v>25312808.160399999</v>
      </c>
      <c r="W4" s="28">
        <f>SUM(W5:W32)</f>
        <v>28593994.368269995</v>
      </c>
    </row>
    <row r="5" spans="1:24" ht="92.25" customHeight="1" x14ac:dyDescent="0.2">
      <c r="B5" s="20" t="e">
        <f t="shared" ref="B5:B30" si="0">#REF!-#REF!-#REF!-#REF!</f>
        <v>#REF!</v>
      </c>
      <c r="C5" s="31">
        <v>1</v>
      </c>
      <c r="D5" s="40" t="s">
        <v>14</v>
      </c>
      <c r="E5" s="32">
        <f>'контракты СМР'!D4</f>
        <v>61044205.173910007</v>
      </c>
      <c r="F5" s="33">
        <v>14</v>
      </c>
      <c r="G5" s="32"/>
      <c r="H5" s="32"/>
      <c r="I5" s="34"/>
      <c r="J5" s="35">
        <f>'контракты СМР'!F4</f>
        <v>29414196.368779995</v>
      </c>
      <c r="K5" s="36">
        <f>J5/E5</f>
        <v>0.48185075528432758</v>
      </c>
      <c r="L5" s="35">
        <f>'контракты СМР'!H4</f>
        <v>26798060.385879993</v>
      </c>
      <c r="M5" s="37">
        <v>0.90077157219285942</v>
      </c>
      <c r="N5" s="32">
        <f>'контракты СМР'!K4</f>
        <v>15244604.484999998</v>
      </c>
      <c r="O5" s="34">
        <v>0.59561566595696569</v>
      </c>
      <c r="P5" s="35">
        <f>'контракты СМР'!M4</f>
        <v>37836048.352169998</v>
      </c>
      <c r="Q5" s="37">
        <v>0.61548819129671373</v>
      </c>
      <c r="R5" s="35">
        <f>'контракты СМР'!O4</f>
        <v>22591443.86468</v>
      </c>
      <c r="S5" s="37">
        <v>0.36733126385054748</v>
      </c>
      <c r="T5" s="32">
        <f>'контракты СМР'!S4</f>
        <v>1767022.6270699999</v>
      </c>
      <c r="U5" s="32">
        <f>'контракты СМР'!V4</f>
        <v>5655417.62861</v>
      </c>
      <c r="V5" s="32">
        <f>'контракты СМР'!AA4</f>
        <v>4026813.5881600003</v>
      </c>
      <c r="W5" s="32">
        <f>'контракты СМР'!AB4</f>
        <v>5016070.6114699999</v>
      </c>
    </row>
    <row r="6" spans="1:24" ht="92.25" customHeight="1" x14ac:dyDescent="0.2">
      <c r="B6" s="20"/>
      <c r="C6" s="31">
        <v>2</v>
      </c>
      <c r="D6" s="40" t="s">
        <v>232</v>
      </c>
      <c r="E6" s="32">
        <f>'контракты СМР'!D41+'контракты СМР'!D49</f>
        <v>57138138.446070001</v>
      </c>
      <c r="F6" s="33">
        <v>16</v>
      </c>
      <c r="G6" s="32"/>
      <c r="H6" s="32"/>
      <c r="I6" s="34"/>
      <c r="J6" s="35">
        <f>'контракты СМР'!F49+'контракты СМР'!F41</f>
        <v>22719415.226199999</v>
      </c>
      <c r="K6" s="36">
        <f t="shared" ref="K6:K28" si="1">J6/E6</f>
        <v>0.39762260101707347</v>
      </c>
      <c r="L6" s="35">
        <f>'контракты СМР'!H41+'контракты СМР'!H49</f>
        <v>20823360.125</v>
      </c>
      <c r="M6" s="37">
        <v>0.82</v>
      </c>
      <c r="N6" s="32">
        <f>'контракты СМР'!K41+'контракты СМР'!K49</f>
        <v>14644633.801630002</v>
      </c>
      <c r="O6" s="34">
        <v>0.65</v>
      </c>
      <c r="P6" s="35">
        <f>'контракты СМР'!M41+'контракты СМР'!M49</f>
        <v>30857231.983929999</v>
      </c>
      <c r="Q6" s="37">
        <v>0.5</v>
      </c>
      <c r="R6" s="35">
        <f>'контракты СМР'!O41+'контракты СМР'!O49</f>
        <v>16212598.170469999</v>
      </c>
      <c r="S6" s="37">
        <v>0.28999999999999998</v>
      </c>
      <c r="T6" s="32">
        <f>'контракты СМР'!S41+'контракты СМР'!S49</f>
        <v>2531762.1132899998</v>
      </c>
      <c r="U6" s="32">
        <f>'контракты СМР'!V41+'контракты СМР'!V49</f>
        <v>6221164.9056100007</v>
      </c>
      <c r="V6" s="32">
        <f>'контракты СМР'!AA41+'контракты СМР'!AA49</f>
        <v>1655774.1356299999</v>
      </c>
      <c r="W6" s="32">
        <f>'контракты СМР'!AB41+'контракты СМР'!AB49</f>
        <v>4195861.73587</v>
      </c>
    </row>
    <row r="7" spans="1:24" ht="103.5" customHeight="1" x14ac:dyDescent="0.2">
      <c r="B7" s="20" t="e">
        <f t="shared" si="0"/>
        <v>#REF!</v>
      </c>
      <c r="C7" s="31">
        <v>3</v>
      </c>
      <c r="D7" s="40" t="s">
        <v>44</v>
      </c>
      <c r="E7" s="32">
        <f>'контракты СМР'!D19</f>
        <v>28155094.089999996</v>
      </c>
      <c r="F7" s="33">
        <v>7</v>
      </c>
      <c r="G7" s="32"/>
      <c r="H7" s="32"/>
      <c r="I7" s="34"/>
      <c r="J7" s="35">
        <f>'контракты СМР'!F19</f>
        <v>11521892.577980001</v>
      </c>
      <c r="K7" s="44">
        <f>J7/E7</f>
        <v>0.40922941124435086</v>
      </c>
      <c r="L7" s="35">
        <f>'контракты СМР'!H19</f>
        <v>7241237.3404499991</v>
      </c>
      <c r="M7" s="45">
        <f>L7/J7</f>
        <v>0.62847638019894825</v>
      </c>
      <c r="N7" s="32">
        <f>'контракты СМР'!K19</f>
        <v>3353747.3541199998</v>
      </c>
      <c r="O7" s="45">
        <f>N7/L7</f>
        <v>0.46314561951805666</v>
      </c>
      <c r="P7" s="35">
        <f>'контракты СМР'!M19</f>
        <v>10043966.014789999</v>
      </c>
      <c r="Q7" s="45">
        <f>P7/E7</f>
        <v>0.3567370786502671</v>
      </c>
      <c r="R7" s="35">
        <f>'контракты СМР'!O19</f>
        <v>6690218.6600299999</v>
      </c>
      <c r="S7" s="45">
        <f>R7/E7</f>
        <v>0.23762018477523764</v>
      </c>
      <c r="T7" s="32">
        <f>'контракты СМР'!S19</f>
        <v>1208300.21517</v>
      </c>
      <c r="U7" s="32">
        <f>'контракты СМР'!V19</f>
        <v>4518278.9442599993</v>
      </c>
      <c r="V7" s="32">
        <f>'контракты СМР'!AA19</f>
        <v>1999150.4118300001</v>
      </c>
      <c r="W7" s="32">
        <f>'контракты СМР'!AB19</f>
        <v>701982.45293999999</v>
      </c>
      <c r="X7" s="3"/>
    </row>
    <row r="8" spans="1:24" ht="81" customHeight="1" x14ac:dyDescent="0.2">
      <c r="B8" s="21" t="e">
        <f t="shared" si="0"/>
        <v>#REF!</v>
      </c>
      <c r="C8" s="31">
        <v>4</v>
      </c>
      <c r="D8" s="40" t="s">
        <v>103</v>
      </c>
      <c r="E8" s="32">
        <f>'контракты СМР'!D59</f>
        <v>21008610.16313</v>
      </c>
      <c r="F8" s="33">
        <v>5</v>
      </c>
      <c r="G8" s="32"/>
      <c r="H8" s="32"/>
      <c r="I8" s="32"/>
      <c r="J8" s="35">
        <f>'контракты СМР'!F59</f>
        <v>5430575.14114</v>
      </c>
      <c r="K8" s="36">
        <f t="shared" si="1"/>
        <v>0.25849283217557295</v>
      </c>
      <c r="L8" s="35">
        <f>'контракты СМР'!H59</f>
        <v>4966757.0094400002</v>
      </c>
      <c r="M8" s="37">
        <v>0.71798304988098605</v>
      </c>
      <c r="N8" s="32">
        <f>'контракты СМР'!K59</f>
        <v>4590067.0291399993</v>
      </c>
      <c r="O8" s="34">
        <v>0.92364906205200881</v>
      </c>
      <c r="P8" s="32">
        <f>'контракты СМР'!M59</f>
        <v>5227494.5465299999</v>
      </c>
      <c r="Q8" s="37">
        <v>0.24192330529269815</v>
      </c>
      <c r="R8" s="35">
        <f>'контракты СМР'!O59</f>
        <v>634328.90700000001</v>
      </c>
      <c r="S8" s="37">
        <v>2.9543134770375363E-2</v>
      </c>
      <c r="T8" s="32">
        <f>'контракты СМР'!S59</f>
        <v>1213622.1292700002</v>
      </c>
      <c r="U8" s="32">
        <f>'контракты СМР'!V59</f>
        <v>1616592.3031299999</v>
      </c>
      <c r="V8" s="32">
        <f>'контракты СМР'!AA59</f>
        <v>1284331.4837799999</v>
      </c>
      <c r="W8" s="32">
        <f>'контракты СМР'!AB59</f>
        <v>2041839.8149999999</v>
      </c>
    </row>
    <row r="9" spans="1:24" ht="137.25" customHeight="1" x14ac:dyDescent="0.2">
      <c r="B9" s="20" t="e">
        <f t="shared" si="0"/>
        <v>#REF!</v>
      </c>
      <c r="C9" s="31">
        <v>5</v>
      </c>
      <c r="D9" s="40" t="s">
        <v>226</v>
      </c>
      <c r="E9" s="32">
        <f>'контракты СМР'!D34</f>
        <v>18443316.66993</v>
      </c>
      <c r="F9" s="33">
        <v>3</v>
      </c>
      <c r="G9" s="32"/>
      <c r="H9" s="32"/>
      <c r="I9" s="34"/>
      <c r="J9" s="35">
        <f>'контракты СМР'!F34</f>
        <v>6085839.2184299994</v>
      </c>
      <c r="K9" s="36">
        <f t="shared" si="1"/>
        <v>0.32997531449169104</v>
      </c>
      <c r="L9" s="35">
        <f>'контракты СМР'!H34</f>
        <v>4898579.5980000002</v>
      </c>
      <c r="M9" s="37">
        <v>0.90841532815804238</v>
      </c>
      <c r="N9" s="32">
        <f>'контракты СМР'!K34</f>
        <v>282294.53645000001</v>
      </c>
      <c r="O9" s="34">
        <v>9.8553039184891472E-2</v>
      </c>
      <c r="P9" s="35">
        <f>'контракты СМР'!M34</f>
        <v>17825341.098839998</v>
      </c>
      <c r="Q9" s="37">
        <v>0.96320184498391959</v>
      </c>
      <c r="R9" s="35">
        <f>'контракты СМР'!O34</f>
        <v>17543899.770679999</v>
      </c>
      <c r="S9" s="37">
        <v>0.93777298720883351</v>
      </c>
      <c r="T9" s="32">
        <f>'контракты СМР'!S34</f>
        <v>567665.17510999995</v>
      </c>
      <c r="U9" s="32">
        <f>'контракты СМР'!V34</f>
        <v>601465.94738999999</v>
      </c>
      <c r="V9" s="32">
        <f>'контракты СМР'!AA34</f>
        <v>0</v>
      </c>
      <c r="W9" s="32">
        <f>'контракты СМР'!AB34</f>
        <v>0</v>
      </c>
    </row>
    <row r="10" spans="1:24" ht="83.25" customHeight="1" x14ac:dyDescent="0.2">
      <c r="B10" s="20" t="e">
        <f t="shared" si="0"/>
        <v>#REF!</v>
      </c>
      <c r="C10" s="31">
        <v>6</v>
      </c>
      <c r="D10" s="40" t="s">
        <v>114</v>
      </c>
      <c r="E10" s="32">
        <f>'контракты СМР'!D66</f>
        <v>11014190.968630001</v>
      </c>
      <c r="F10" s="33">
        <v>8</v>
      </c>
      <c r="G10" s="32"/>
      <c r="H10" s="32"/>
      <c r="I10" s="32"/>
      <c r="J10" s="35">
        <f>'контракты СМР'!F66</f>
        <v>3935402.2297399999</v>
      </c>
      <c r="K10" s="36">
        <f t="shared" si="1"/>
        <v>0.35730288688007961</v>
      </c>
      <c r="L10" s="35">
        <f>'контракты СМР'!H66</f>
        <v>2298714.5403199997</v>
      </c>
      <c r="M10" s="37">
        <v>0.75176854288668282</v>
      </c>
      <c r="N10" s="32">
        <f>'контракты СМР'!K66</f>
        <v>1940771.2100400003</v>
      </c>
      <c r="O10" s="34">
        <v>1.0000000017360096</v>
      </c>
      <c r="P10" s="35">
        <f>'контракты СМР'!M66</f>
        <v>1940771.2075499999</v>
      </c>
      <c r="Q10" s="37">
        <v>0.15689770496824332</v>
      </c>
      <c r="R10" s="35">
        <f>'контракты СМР'!O66</f>
        <v>0</v>
      </c>
      <c r="S10" s="37">
        <v>0</v>
      </c>
      <c r="T10" s="32">
        <f>'контракты СМР'!S66</f>
        <v>817629.37605000008</v>
      </c>
      <c r="U10" s="32">
        <f>'контракты СМР'!V66</f>
        <v>1052629.3760500001</v>
      </c>
      <c r="V10" s="32">
        <f>'контракты СМР'!AA66</f>
        <v>2088023.56458</v>
      </c>
      <c r="W10" s="32">
        <f>'контракты СМР'!AB66</f>
        <v>1648023.5651999998</v>
      </c>
    </row>
    <row r="11" spans="1:24" ht="96.75" customHeight="1" x14ac:dyDescent="0.2">
      <c r="A11" s="13"/>
      <c r="B11" s="22" t="e">
        <f t="shared" si="0"/>
        <v>#REF!</v>
      </c>
      <c r="C11" s="31">
        <v>7</v>
      </c>
      <c r="D11" s="40" t="s">
        <v>184</v>
      </c>
      <c r="E11" s="32">
        <f>'контракты СМР'!D111</f>
        <v>7283697.7029999997</v>
      </c>
      <c r="F11" s="33">
        <v>3</v>
      </c>
      <c r="G11" s="32"/>
      <c r="H11" s="32"/>
      <c r="I11" s="32"/>
      <c r="J11" s="35">
        <f>'контракты СМР'!F111</f>
        <v>934465.50399999996</v>
      </c>
      <c r="K11" s="36">
        <f t="shared" si="1"/>
        <v>0.12829548151279171</v>
      </c>
      <c r="L11" s="35">
        <f>'контракты СМР'!H111</f>
        <v>118232.85270999999</v>
      </c>
      <c r="M11" s="37">
        <v>4.8172464801868174E-2</v>
      </c>
      <c r="N11" s="32">
        <f>'контракты СМР'!K111</f>
        <v>118232.85270999999</v>
      </c>
      <c r="O11" s="34">
        <v>1</v>
      </c>
      <c r="P11" s="35">
        <f>'контракты СМР'!M111</f>
        <v>118232.85291999999</v>
      </c>
      <c r="Q11" s="37">
        <v>6.1803096223308485E-3</v>
      </c>
      <c r="R11" s="35">
        <f>'контракты СМР'!O111</f>
        <v>0</v>
      </c>
      <c r="S11" s="37">
        <v>0</v>
      </c>
      <c r="T11" s="32">
        <f>'контракты СМР'!S111</f>
        <v>1496211.30167</v>
      </c>
      <c r="U11" s="32">
        <f>'контракты СМР'!V111</f>
        <v>2034560.5634299999</v>
      </c>
      <c r="V11" s="32">
        <f>'контракты СМР'!AA111</f>
        <v>5523664.1496099997</v>
      </c>
      <c r="W11" s="32">
        <f>'контракты СМР'!AB111</f>
        <v>5067170.5799000002</v>
      </c>
    </row>
    <row r="12" spans="1:24" s="54" customFormat="1" ht="93" customHeight="1" x14ac:dyDescent="0.2">
      <c r="A12" s="46"/>
      <c r="B12" s="47" t="e">
        <f t="shared" si="0"/>
        <v>#REF!</v>
      </c>
      <c r="C12" s="48">
        <v>8</v>
      </c>
      <c r="D12" s="55" t="s">
        <v>57</v>
      </c>
      <c r="E12" s="49">
        <f>'контракты СМР'!D27</f>
        <v>5882577.8846199997</v>
      </c>
      <c r="F12" s="50">
        <v>6</v>
      </c>
      <c r="G12" s="49"/>
      <c r="H12" s="49"/>
      <c r="I12" s="51"/>
      <c r="J12" s="52">
        <f>'контракты СМР'!F27</f>
        <v>2245038.2592099998</v>
      </c>
      <c r="K12" s="53">
        <f>J12/E12</f>
        <v>0.38164190993197938</v>
      </c>
      <c r="L12" s="52">
        <f>'контракты СМР'!H27</f>
        <v>1138170.2411100001</v>
      </c>
      <c r="M12" s="45">
        <f>L12/J12</f>
        <v>0.50697142306630782</v>
      </c>
      <c r="N12" s="49">
        <f>'контракты СМР'!K27</f>
        <v>384563.52492999996</v>
      </c>
      <c r="O12" s="45">
        <f>N12/L12</f>
        <v>0.33787873820611802</v>
      </c>
      <c r="P12" s="52">
        <f>'контракты СМР'!M27</f>
        <v>2256412.5436900002</v>
      </c>
      <c r="Q12" s="45">
        <f>P12/E12</f>
        <v>0.3835754643537132</v>
      </c>
      <c r="R12" s="52">
        <f>'контракты СМР'!O27</f>
        <v>2010302.33665</v>
      </c>
      <c r="S12" s="45">
        <f>R12/E12</f>
        <v>0.34173832902509216</v>
      </c>
      <c r="T12" s="49">
        <f>'контракты СМР'!S27</f>
        <v>246305.22594999999</v>
      </c>
      <c r="U12" s="49">
        <f>'контракты СМР'!V27</f>
        <v>1173496.4365079999</v>
      </c>
      <c r="V12" s="49">
        <f>'контракты СМР'!AA27</f>
        <v>1043005.4839</v>
      </c>
      <c r="W12" s="49">
        <f>'контракты СМР'!AB27</f>
        <v>1509448.3356499998</v>
      </c>
    </row>
    <row r="13" spans="1:24" ht="80.25" customHeight="1" x14ac:dyDescent="0.2">
      <c r="A13" s="1"/>
      <c r="B13" s="22" t="e">
        <f t="shared" si="0"/>
        <v>#REF!</v>
      </c>
      <c r="C13" s="31">
        <v>9</v>
      </c>
      <c r="D13" s="40" t="s">
        <v>166</v>
      </c>
      <c r="E13" s="32">
        <f>'контракты СМР'!D99</f>
        <v>4325702.8351400001</v>
      </c>
      <c r="F13" s="33">
        <v>2</v>
      </c>
      <c r="G13" s="32"/>
      <c r="H13" s="32"/>
      <c r="I13" s="32"/>
      <c r="J13" s="35">
        <f>'контракты СМР'!F99</f>
        <v>1297710.85054</v>
      </c>
      <c r="K13" s="36">
        <f t="shared" si="1"/>
        <v>0.29999999999953764</v>
      </c>
      <c r="L13" s="35">
        <f>'контракты СМР'!H99</f>
        <v>69561.057369999995</v>
      </c>
      <c r="M13" s="37">
        <v>5.3602894158628969E-2</v>
      </c>
      <c r="N13" s="32">
        <f>'контракты СМР'!K99</f>
        <v>109311.05316</v>
      </c>
      <c r="O13" s="34">
        <v>1</v>
      </c>
      <c r="P13" s="35">
        <f>'контракты СМР'!M99</f>
        <v>109311.05316</v>
      </c>
      <c r="Q13" s="37">
        <v>1.6080868247563905E-2</v>
      </c>
      <c r="R13" s="35">
        <f>'контракты СМР'!O99</f>
        <v>0</v>
      </c>
      <c r="S13" s="37">
        <v>0</v>
      </c>
      <c r="T13" s="32">
        <f>'контракты СМР'!S99</f>
        <v>1176000.3433600001</v>
      </c>
      <c r="U13" s="32">
        <f>'контракты СМР'!V99</f>
        <v>277309.13385899999</v>
      </c>
      <c r="V13" s="32">
        <f>'контракты СМР'!AA99</f>
        <v>1959813.1088999999</v>
      </c>
      <c r="W13" s="32">
        <f>'контракты СМР'!AB99</f>
        <v>1084792.1779999998</v>
      </c>
    </row>
    <row r="14" spans="1:24" ht="89.25" customHeight="1" x14ac:dyDescent="0.2">
      <c r="A14" s="1"/>
      <c r="B14" s="22" t="e">
        <f t="shared" si="0"/>
        <v>#REF!</v>
      </c>
      <c r="C14" s="31">
        <v>10</v>
      </c>
      <c r="D14" s="40" t="s">
        <v>227</v>
      </c>
      <c r="E14" s="32">
        <f>'контракты СМР'!D37</f>
        <v>3951124.699</v>
      </c>
      <c r="F14" s="33">
        <v>2</v>
      </c>
      <c r="G14" s="32"/>
      <c r="H14" s="32"/>
      <c r="I14" s="34"/>
      <c r="J14" s="35">
        <f>'контракты СМР'!F37</f>
        <v>1185337.409</v>
      </c>
      <c r="K14" s="36">
        <f t="shared" si="1"/>
        <v>0.29999999982283526</v>
      </c>
      <c r="L14" s="35">
        <f>'контракты СМР'!H37</f>
        <v>1175636.81437</v>
      </c>
      <c r="M14" s="37">
        <v>0.99198912950194429</v>
      </c>
      <c r="N14" s="32">
        <f>'контракты СМР'!K37</f>
        <v>40039.589999999997</v>
      </c>
      <c r="O14" s="34">
        <v>3.4051850482818884E-2</v>
      </c>
      <c r="P14" s="35">
        <f>'контракты СМР'!M37</f>
        <v>3903059.8980900003</v>
      </c>
      <c r="Q14" s="37">
        <v>0.97248865670387186</v>
      </c>
      <c r="R14" s="35">
        <f>'контракты СМР'!O37</f>
        <v>3903059.8980900003</v>
      </c>
      <c r="S14" s="37">
        <v>0.95827438854518421</v>
      </c>
      <c r="T14" s="32">
        <f>'контракты СМР'!S37</f>
        <v>51076.038820000002</v>
      </c>
      <c r="U14" s="32">
        <f>'контракты СМР'!V37</f>
        <v>108700.74809000001</v>
      </c>
      <c r="V14" s="32">
        <f>'контракты СМР'!AA37</f>
        <v>0</v>
      </c>
      <c r="W14" s="32">
        <f>'контракты СМР'!AB37</f>
        <v>0</v>
      </c>
    </row>
    <row r="15" spans="1:24" ht="89.25" customHeight="1" x14ac:dyDescent="0.2">
      <c r="A15" s="1"/>
      <c r="B15" s="22" t="e">
        <f t="shared" si="0"/>
        <v>#REF!</v>
      </c>
      <c r="C15" s="31">
        <v>11</v>
      </c>
      <c r="D15" s="40" t="s">
        <v>128</v>
      </c>
      <c r="E15" s="32">
        <f>'контракты СМР'!D75</f>
        <v>3941898.8685900001</v>
      </c>
      <c r="F15" s="33">
        <v>4</v>
      </c>
      <c r="G15" s="32"/>
      <c r="H15" s="32"/>
      <c r="I15" s="32"/>
      <c r="J15" s="35">
        <f>'контракты СМР'!F75</f>
        <v>1564261.77299</v>
      </c>
      <c r="K15" s="36">
        <f t="shared" si="1"/>
        <v>0.39682950403786732</v>
      </c>
      <c r="L15" s="35">
        <f>'контракты СМР'!H75</f>
        <v>847503.10561999993</v>
      </c>
      <c r="M15" s="37">
        <v>0.2559375292632825</v>
      </c>
      <c r="N15" s="32">
        <f>'контракты СМР'!K75</f>
        <v>715667.15989000001</v>
      </c>
      <c r="O15" s="34">
        <v>0.86091345165462518</v>
      </c>
      <c r="P15" s="35">
        <f>'контракты СМР'!M75</f>
        <v>1152588.3837100002</v>
      </c>
      <c r="Q15" s="37">
        <v>0.19364742589731704</v>
      </c>
      <c r="R15" s="35">
        <f>'контракты СМР'!O75</f>
        <v>436921.22688999999</v>
      </c>
      <c r="S15" s="37">
        <v>7.2249670309748965E-2</v>
      </c>
      <c r="T15" s="32">
        <f>'контракты СМР'!S75</f>
        <v>1346519.1753199999</v>
      </c>
      <c r="U15" s="32">
        <f>'контракты СМР'!V75</f>
        <v>1063046.516257718</v>
      </c>
      <c r="V15" s="32">
        <f>'контракты СМР'!AA75</f>
        <v>1679515.6926200001</v>
      </c>
      <c r="W15" s="32">
        <f>'контракты СМР'!AB75</f>
        <v>1417490.4273299999</v>
      </c>
    </row>
    <row r="16" spans="1:24" ht="89.25" customHeight="1" x14ac:dyDescent="0.2">
      <c r="A16" s="1"/>
      <c r="B16" s="22" t="e">
        <f t="shared" si="0"/>
        <v>#REF!</v>
      </c>
      <c r="C16" s="31">
        <v>12</v>
      </c>
      <c r="D16" s="40" t="s">
        <v>230</v>
      </c>
      <c r="E16" s="32">
        <f>'контракты СМР'!D121</f>
        <v>3523860.8289999999</v>
      </c>
      <c r="F16" s="33">
        <v>2</v>
      </c>
      <c r="G16" s="32"/>
      <c r="H16" s="32"/>
      <c r="I16" s="32"/>
      <c r="J16" s="35">
        <f>'контракты СМР'!F121</f>
        <v>1506496.24025</v>
      </c>
      <c r="K16" s="36">
        <f t="shared" si="1"/>
        <v>0.42751297890430962</v>
      </c>
      <c r="L16" s="35">
        <f>'контракты СМР'!H121</f>
        <v>1506496.24</v>
      </c>
      <c r="M16" s="37">
        <v>0.99999999983405197</v>
      </c>
      <c r="N16" s="32">
        <f>'контракты СМР'!K121</f>
        <v>1167290.17662</v>
      </c>
      <c r="O16" s="34">
        <v>0.82859127232206031</v>
      </c>
      <c r="P16" s="35">
        <f>'контракты СМР'!M121</f>
        <v>2297977.0538600003</v>
      </c>
      <c r="Q16" s="37">
        <v>0.62997059268937439</v>
      </c>
      <c r="R16" s="35">
        <f>'контракты СМР'!O121</f>
        <v>1130686.8774900001</v>
      </c>
      <c r="S16" s="37">
        <v>0.27573706969458756</v>
      </c>
      <c r="T16" s="32">
        <f>'контракты СМР'!S121</f>
        <v>1233344.97997</v>
      </c>
      <c r="U16" s="32">
        <f>'контракты СМР'!V121</f>
        <v>266475.12998999999</v>
      </c>
      <c r="V16" s="32">
        <f>'контракты СМР'!AA121</f>
        <v>0</v>
      </c>
      <c r="W16" s="32">
        <f>'контракты СМР'!AB121</f>
        <v>1037457.00271</v>
      </c>
    </row>
    <row r="17" spans="1:24" s="54" customFormat="1" ht="89.25" customHeight="1" x14ac:dyDescent="0.2">
      <c r="A17" s="46"/>
      <c r="B17" s="47" t="e">
        <f t="shared" si="0"/>
        <v>#REF!</v>
      </c>
      <c r="C17" s="48">
        <v>13</v>
      </c>
      <c r="D17" s="55" t="s">
        <v>206</v>
      </c>
      <c r="E17" s="49">
        <f>'контракты СМР'!D127</f>
        <v>3210785.6140000001</v>
      </c>
      <c r="F17" s="50">
        <v>3</v>
      </c>
      <c r="G17" s="49"/>
      <c r="H17" s="49"/>
      <c r="I17" s="49"/>
      <c r="J17" s="52">
        <f>'контракты СМР'!F127</f>
        <v>530085.50424000004</v>
      </c>
      <c r="K17" s="53">
        <f>J17/E17</f>
        <v>0.16509526575946595</v>
      </c>
      <c r="L17" s="52">
        <f>'контракты СМР'!H127</f>
        <v>530085.50450000004</v>
      </c>
      <c r="M17" s="45">
        <f>L17/J17</f>
        <v>1.000000000490487</v>
      </c>
      <c r="N17" s="49">
        <f>'контракты СМР'!K127</f>
        <v>530085.50450000004</v>
      </c>
      <c r="O17" s="45">
        <f>N17/L17</f>
        <v>1</v>
      </c>
      <c r="P17" s="52">
        <f>'контракты СМР'!M127</f>
        <v>530085.50365000009</v>
      </c>
      <c r="Q17" s="45">
        <f>P17/E17</f>
        <v>0.1650952655757103</v>
      </c>
      <c r="R17" s="52">
        <f>'контракты СМР'!O127</f>
        <v>0</v>
      </c>
      <c r="S17" s="45">
        <f>R17/E17</f>
        <v>0</v>
      </c>
      <c r="T17" s="49">
        <f>'контракты СМР'!S127</f>
        <v>1504762.84152</v>
      </c>
      <c r="U17" s="49">
        <f>'контракты СМР'!V127</f>
        <v>1081569.5814800002</v>
      </c>
      <c r="V17" s="49">
        <f>'контракты СМР'!AA127</f>
        <v>1434611.7864699999</v>
      </c>
      <c r="W17" s="49">
        <f>'контракты СМР'!AB127</f>
        <v>1857805.04651</v>
      </c>
    </row>
    <row r="18" spans="1:24" ht="89.25" customHeight="1" x14ac:dyDescent="0.2">
      <c r="A18" s="1"/>
      <c r="B18" s="22" t="e">
        <f t="shared" si="0"/>
        <v>#REF!</v>
      </c>
      <c r="C18" s="31">
        <v>14</v>
      </c>
      <c r="D18" s="40" t="s">
        <v>136</v>
      </c>
      <c r="E18" s="32">
        <f>'контракты СМР'!D80</f>
        <v>2758579.7043000003</v>
      </c>
      <c r="F18" s="33">
        <v>7</v>
      </c>
      <c r="G18" s="32"/>
      <c r="H18" s="32"/>
      <c r="I18" s="32"/>
      <c r="J18" s="35">
        <f>'контракты СМР'!F80</f>
        <v>943598.32074</v>
      </c>
      <c r="K18" s="36">
        <f t="shared" si="1"/>
        <v>0.3420594733112638</v>
      </c>
      <c r="L18" s="35">
        <f>'контракты СМР'!H80</f>
        <v>477240.53678999998</v>
      </c>
      <c r="M18" s="37">
        <v>0.55120653285150045</v>
      </c>
      <c r="N18" s="32">
        <f>'контракты СМР'!K80</f>
        <v>271447.51120999997</v>
      </c>
      <c r="O18" s="34">
        <v>0.74792708507296113</v>
      </c>
      <c r="P18" s="35">
        <f>'контракты СМР'!M80</f>
        <v>899233.41056999995</v>
      </c>
      <c r="Q18" s="37">
        <v>0.261667789628859</v>
      </c>
      <c r="R18" s="35">
        <f>'контракты СМР'!O80</f>
        <v>627785.89936000004</v>
      </c>
      <c r="S18" s="37">
        <v>0.14707184928894773</v>
      </c>
      <c r="T18" s="32">
        <f>'контракты СМР'!S80</f>
        <v>518393.72681999992</v>
      </c>
      <c r="U18" s="32">
        <f>'контракты СМР'!V80</f>
        <v>750761.35144599993</v>
      </c>
      <c r="V18" s="32">
        <f>'контракты СМР'!AA80</f>
        <v>1252645.9049500001</v>
      </c>
      <c r="W18" s="32">
        <f>'контракты СМР'!AB80</f>
        <v>802725.89189000009</v>
      </c>
    </row>
    <row r="19" spans="1:24" ht="89.25" customHeight="1" x14ac:dyDescent="0.2">
      <c r="A19" s="1"/>
      <c r="B19" s="22" t="e">
        <f t="shared" si="0"/>
        <v>#REF!</v>
      </c>
      <c r="C19" s="31">
        <v>15</v>
      </c>
      <c r="D19" s="40" t="s">
        <v>175</v>
      </c>
      <c r="E19" s="32">
        <f>'контракты СМР'!D105</f>
        <v>2464867.6937499996</v>
      </c>
      <c r="F19" s="33">
        <v>5</v>
      </c>
      <c r="G19" s="32"/>
      <c r="H19" s="32"/>
      <c r="I19" s="32"/>
      <c r="J19" s="35">
        <f>'контракты СМР'!F105</f>
        <v>738575.32282999996</v>
      </c>
      <c r="K19" s="36">
        <f t="shared" si="1"/>
        <v>0.29964096032527671</v>
      </c>
      <c r="L19" s="35">
        <f>'контракты СМР'!H105</f>
        <v>353064.48888000002</v>
      </c>
      <c r="M19" s="37">
        <v>0.26612516038863071</v>
      </c>
      <c r="N19" s="32">
        <f>'контракты СМР'!K105</f>
        <v>291525.87524000002</v>
      </c>
      <c r="O19" s="34">
        <v>0.92572250848438631</v>
      </c>
      <c r="P19" s="35">
        <f>'контракты СМР'!M105</f>
        <v>514788.78363999992</v>
      </c>
      <c r="Q19" s="37">
        <v>9.3542275447095882E-2</v>
      </c>
      <c r="R19" s="35">
        <f>'контракты СМР'!O105</f>
        <v>223262.90846000001</v>
      </c>
      <c r="S19" s="37">
        <v>1.9739203262794863E-2</v>
      </c>
      <c r="T19" s="32">
        <f>'контракты СМР'!S105</f>
        <v>278608.06453999999</v>
      </c>
      <c r="U19" s="32">
        <f>'контракты СМР'!V105</f>
        <v>454711.56927000004</v>
      </c>
      <c r="V19" s="32">
        <f>'контракты СМР'!AA105</f>
        <v>364387.28252000001</v>
      </c>
      <c r="W19" s="32">
        <f>'контракты СМР'!AB105</f>
        <v>573157.44550999999</v>
      </c>
    </row>
    <row r="20" spans="1:24" ht="89.25" customHeight="1" x14ac:dyDescent="0.2">
      <c r="A20" s="1"/>
      <c r="B20" s="22" t="e">
        <f t="shared" si="0"/>
        <v>#REF!</v>
      </c>
      <c r="C20" s="31">
        <v>16</v>
      </c>
      <c r="D20" s="40" t="s">
        <v>231</v>
      </c>
      <c r="E20" s="32">
        <f>'контракты СМР'!D124</f>
        <v>1909798.3369999998</v>
      </c>
      <c r="F20" s="33">
        <v>2</v>
      </c>
      <c r="G20" s="32"/>
      <c r="H20" s="32"/>
      <c r="I20" s="32"/>
      <c r="J20" s="35">
        <f>'контракты СМР'!F124</f>
        <v>572939.50100000005</v>
      </c>
      <c r="K20" s="36">
        <f t="shared" si="1"/>
        <v>0.29999999994763848</v>
      </c>
      <c r="L20" s="35">
        <f>'контракты СМР'!H124</f>
        <v>559828.48782000004</v>
      </c>
      <c r="M20" s="37">
        <v>0.9771162345114689</v>
      </c>
      <c r="N20" s="32">
        <f>'контракты СМР'!K124</f>
        <v>520000</v>
      </c>
      <c r="O20" s="34">
        <v>0.92885591089675668</v>
      </c>
      <c r="P20" s="35">
        <f>'контракты СМР'!M124</f>
        <v>638651.90995</v>
      </c>
      <c r="Q20" s="37">
        <v>0.33440803543332442</v>
      </c>
      <c r="R20" s="35">
        <f>'контракты СМР'!O124</f>
        <v>118651.90995</v>
      </c>
      <c r="S20" s="37">
        <v>6.2127978463099906E-2</v>
      </c>
      <c r="T20" s="32">
        <f>'контракты СМР'!S124</f>
        <v>37000</v>
      </c>
      <c r="U20" s="32">
        <f>'контракты СМР'!V124</f>
        <v>25000</v>
      </c>
      <c r="V20" s="32">
        <f>'контракты СМР'!AA124</f>
        <v>90000</v>
      </c>
      <c r="W20" s="32">
        <f>'контракты СМР'!AB124</f>
        <v>90000</v>
      </c>
    </row>
    <row r="21" spans="1:24" ht="89.25" customHeight="1" x14ac:dyDescent="0.2">
      <c r="A21" s="1"/>
      <c r="B21" s="22" t="e">
        <f t="shared" si="0"/>
        <v>#REF!</v>
      </c>
      <c r="C21" s="31">
        <v>17</v>
      </c>
      <c r="D21" s="40" t="s">
        <v>171</v>
      </c>
      <c r="E21" s="32">
        <f>'контракты СМР'!D102</f>
        <v>780267.049</v>
      </c>
      <c r="F21" s="33">
        <v>3</v>
      </c>
      <c r="G21" s="32"/>
      <c r="H21" s="32"/>
      <c r="I21" s="32"/>
      <c r="J21" s="35">
        <f>'контракты СМР'!F102</f>
        <v>292322.35600000003</v>
      </c>
      <c r="K21" s="36">
        <f t="shared" si="1"/>
        <v>0.37464398422904571</v>
      </c>
      <c r="L21" s="35">
        <f>'контракты СМР'!H102</f>
        <v>210605.603</v>
      </c>
      <c r="M21" s="37">
        <v>0.77937783961400831</v>
      </c>
      <c r="N21" s="32">
        <f>'контракты СМР'!K102</f>
        <v>136750.56263</v>
      </c>
      <c r="O21" s="34">
        <v>0.78927060507578406</v>
      </c>
      <c r="P21" s="35">
        <f>'контракты СМР'!M102</f>
        <v>273176.26191999996</v>
      </c>
      <c r="Q21" s="37">
        <v>0.33241137285836231</v>
      </c>
      <c r="R21" s="35">
        <f>'контракты СМР'!O102</f>
        <v>136425.69928999999</v>
      </c>
      <c r="S21" s="37">
        <v>0.12884914904626793</v>
      </c>
      <c r="T21" s="32">
        <f>'контракты СМР'!S102</f>
        <v>151485.55549999999</v>
      </c>
      <c r="U21" s="32">
        <f>'контракты СМР'!V102</f>
        <v>225521.28612999999</v>
      </c>
      <c r="V21" s="32">
        <f>'контракты СМР'!AA102</f>
        <v>193074.45157999999</v>
      </c>
      <c r="W21" s="32">
        <f>'контракты СМР'!AB102</f>
        <v>80000</v>
      </c>
    </row>
    <row r="22" spans="1:24" ht="89.25" customHeight="1" x14ac:dyDescent="0.2">
      <c r="A22" s="1"/>
      <c r="B22" s="22" t="e">
        <f t="shared" si="0"/>
        <v>#REF!</v>
      </c>
      <c r="C22" s="31">
        <v>18</v>
      </c>
      <c r="D22" s="40" t="s">
        <v>164</v>
      </c>
      <c r="E22" s="32">
        <f>'контракты СМР'!D97</f>
        <v>788938.20426000003</v>
      </c>
      <c r="F22" s="33">
        <v>1</v>
      </c>
      <c r="G22" s="32"/>
      <c r="H22" s="32"/>
      <c r="I22" s="32"/>
      <c r="J22" s="35">
        <f>'контракты СМР'!F97</f>
        <v>556090.37913999998</v>
      </c>
      <c r="K22" s="36">
        <f t="shared" si="1"/>
        <v>0.7048592350291818</v>
      </c>
      <c r="L22" s="35">
        <f>'контракты СМР'!H97</f>
        <v>22000.005000000001</v>
      </c>
      <c r="M22" s="37">
        <v>3.9561923430546049E-2</v>
      </c>
      <c r="N22" s="32">
        <f>'контракты СМР'!K97</f>
        <v>22000.005000000001</v>
      </c>
      <c r="O22" s="34">
        <v>1</v>
      </c>
      <c r="P22" s="35">
        <f>'контракты СМР'!M97</f>
        <v>22000.005000000001</v>
      </c>
      <c r="Q22" s="37">
        <v>1.9780961715273025E-2</v>
      </c>
      <c r="R22" s="35">
        <f>'контракты СМР'!O97</f>
        <v>0</v>
      </c>
      <c r="S22" s="37">
        <v>0</v>
      </c>
      <c r="T22" s="32">
        <f>'контракты СМР'!S97</f>
        <v>530000</v>
      </c>
      <c r="U22" s="32">
        <f>'контракты СМР'!V97</f>
        <v>77450.193549999996</v>
      </c>
      <c r="V22" s="32">
        <f>'контракты СМР'!AA97</f>
        <v>538180.75728000002</v>
      </c>
      <c r="W22" s="32">
        <f>'контракты СМР'!AB97</f>
        <v>689488.01020999998</v>
      </c>
    </row>
    <row r="23" spans="1:24" ht="89.25" customHeight="1" x14ac:dyDescent="0.2">
      <c r="A23" s="1"/>
      <c r="B23" s="22" t="e">
        <f t="shared" si="0"/>
        <v>#REF!</v>
      </c>
      <c r="C23" s="31">
        <v>19</v>
      </c>
      <c r="D23" s="40" t="s">
        <v>150</v>
      </c>
      <c r="E23" s="32">
        <f>'контракты СМР'!D88</f>
        <v>653212.28620999993</v>
      </c>
      <c r="F23" s="33">
        <v>2</v>
      </c>
      <c r="G23" s="32"/>
      <c r="H23" s="32"/>
      <c r="I23" s="32"/>
      <c r="J23" s="35">
        <f>'контракты СМР'!F88</f>
        <v>95527.699170000007</v>
      </c>
      <c r="K23" s="36">
        <f t="shared" si="1"/>
        <v>0.14624296141804197</v>
      </c>
      <c r="L23" s="35">
        <f>'контракты СМР'!H88</f>
        <v>95527.699500000002</v>
      </c>
      <c r="M23" s="37">
        <v>1.0000000034544954</v>
      </c>
      <c r="N23" s="32">
        <f>'контракты СМР'!K88</f>
        <v>62763.383020000001</v>
      </c>
      <c r="O23" s="34">
        <v>0.65701763308976158</v>
      </c>
      <c r="P23" s="35">
        <f>'контракты СМР'!M88</f>
        <v>183344.25644999999</v>
      </c>
      <c r="Q23" s="37">
        <v>0.2806809674597226</v>
      </c>
      <c r="R23" s="35">
        <f>'контракты СМР'!O88</f>
        <v>120580.87302</v>
      </c>
      <c r="S23" s="37">
        <v>0.1845967621332136</v>
      </c>
      <c r="T23" s="32">
        <f>'контракты СМР'!S88</f>
        <v>383887.89014999999</v>
      </c>
      <c r="U23" s="32">
        <f>'контракты СМР'!V88</f>
        <v>184048.86900000001</v>
      </c>
      <c r="V23" s="32">
        <f>'контракты СМР'!AA88</f>
        <v>0</v>
      </c>
      <c r="W23" s="32">
        <f>'контракты СМР'!AB88</f>
        <v>285819.16113000002</v>
      </c>
    </row>
    <row r="24" spans="1:24" ht="89.25" customHeight="1" x14ac:dyDescent="0.2">
      <c r="A24" s="1"/>
      <c r="B24" s="22" t="e">
        <f t="shared" si="0"/>
        <v>#REF!</v>
      </c>
      <c r="C24" s="31">
        <v>20</v>
      </c>
      <c r="D24" s="40" t="s">
        <v>155</v>
      </c>
      <c r="E24" s="32">
        <f>'контракты СМР'!D91</f>
        <v>526938.57669999998</v>
      </c>
      <c r="F24" s="33">
        <v>1</v>
      </c>
      <c r="G24" s="32"/>
      <c r="H24" s="32"/>
      <c r="I24" s="32"/>
      <c r="J24" s="35">
        <f>'контракты СМР'!F91</f>
        <v>247661.13105000003</v>
      </c>
      <c r="K24" s="36">
        <f t="shared" si="1"/>
        <v>0.47000000000189784</v>
      </c>
      <c r="L24" s="35">
        <f>'контракты СМР'!H91</f>
        <v>246866.75099999999</v>
      </c>
      <c r="M24" s="37">
        <v>0.99679247184799591</v>
      </c>
      <c r="N24" s="32">
        <f>'контракты СМР'!K91</f>
        <v>76549.000809999998</v>
      </c>
      <c r="O24" s="34">
        <v>0.31008226300187341</v>
      </c>
      <c r="P24" s="35">
        <f>'контракты СМР'!M91</f>
        <v>449875.03093000001</v>
      </c>
      <c r="Q24" s="37">
        <v>0.85375231729546674</v>
      </c>
      <c r="R24" s="35">
        <f>'контракты СМР'!O91</f>
        <v>373326.03012000001</v>
      </c>
      <c r="S24" s="37">
        <v>0.708481114550367</v>
      </c>
      <c r="T24" s="32">
        <f>'контракты СМР'!S91</f>
        <v>77063.545769999997</v>
      </c>
      <c r="U24" s="32">
        <f>'контракты СМР'!V91</f>
        <v>77063.545769999997</v>
      </c>
      <c r="V24" s="32">
        <f>'контракты СМР'!AA91</f>
        <v>0</v>
      </c>
      <c r="W24" s="32">
        <f>'контракты СМР'!AB91</f>
        <v>0</v>
      </c>
    </row>
    <row r="25" spans="1:24" ht="89.25" customHeight="1" x14ac:dyDescent="0.2">
      <c r="A25" s="1"/>
      <c r="B25" s="22" t="e">
        <f t="shared" si="0"/>
        <v>#REF!</v>
      </c>
      <c r="C25" s="31">
        <v>21</v>
      </c>
      <c r="D25" s="40" t="s">
        <v>228</v>
      </c>
      <c r="E25" s="32">
        <f>'контракты СМР'!D93</f>
        <v>522435.25199999998</v>
      </c>
      <c r="F25" s="33">
        <v>1</v>
      </c>
      <c r="G25" s="32"/>
      <c r="H25" s="32"/>
      <c r="I25" s="32"/>
      <c r="J25" s="35">
        <f>'контракты СМР'!F93</f>
        <v>156730.57558</v>
      </c>
      <c r="K25" s="36">
        <f t="shared" si="1"/>
        <v>0.29999999996171778</v>
      </c>
      <c r="L25" s="35">
        <f>'контракты СМР'!H93</f>
        <v>156730.57558</v>
      </c>
      <c r="M25" s="37">
        <v>0.47096752964020477</v>
      </c>
      <c r="N25" s="32">
        <f>'контракты СМР'!K93</f>
        <v>126425.81018</v>
      </c>
      <c r="O25" s="34">
        <v>0.83553677008140292</v>
      </c>
      <c r="P25" s="35">
        <f>'контракты СМР'!M93</f>
        <v>225300.35240999999</v>
      </c>
      <c r="Q25" s="37">
        <v>0.19141127942109085</v>
      </c>
      <c r="R25" s="35">
        <f>'контракты СМР'!O93</f>
        <v>98847.542230000006</v>
      </c>
      <c r="S25" s="37">
        <v>7.3358072877517069E-2</v>
      </c>
      <c r="T25" s="32">
        <f>'контракты СМР'!S93</f>
        <v>422435.25193999999</v>
      </c>
      <c r="U25" s="32">
        <f>'контракты СМР'!V93</f>
        <v>272938.79300000001</v>
      </c>
      <c r="V25" s="32">
        <f>'контракты СМР'!AA93</f>
        <v>0</v>
      </c>
      <c r="W25" s="32">
        <f>'контракты СМР'!AB93</f>
        <v>149496.45894000001</v>
      </c>
    </row>
    <row r="26" spans="1:24" ht="89.25" customHeight="1" x14ac:dyDescent="0.2">
      <c r="A26" s="1"/>
      <c r="B26" s="22" t="e">
        <f t="shared" si="0"/>
        <v>#REF!</v>
      </c>
      <c r="C26" s="31">
        <v>22</v>
      </c>
      <c r="D26" s="40" t="s">
        <v>229</v>
      </c>
      <c r="E26" s="32">
        <f>'контракты СМР'!D117</f>
        <v>358961.54600000003</v>
      </c>
      <c r="F26" s="33">
        <v>1</v>
      </c>
      <c r="G26" s="32"/>
      <c r="H26" s="32"/>
      <c r="I26" s="32"/>
      <c r="J26" s="35">
        <f>'контракты СМР'!F117</f>
        <v>110286.315</v>
      </c>
      <c r="K26" s="36">
        <f>'контракты СМР'!G117</f>
        <v>0.3</v>
      </c>
      <c r="L26" s="35">
        <f>'контракты СМР'!H117</f>
        <v>110286.315</v>
      </c>
      <c r="M26" s="37">
        <v>1.0241237631544267</v>
      </c>
      <c r="N26" s="32">
        <f>'контракты СМР'!K117</f>
        <v>29939.288</v>
      </c>
      <c r="O26" s="34">
        <v>0.2714687493185351</v>
      </c>
      <c r="P26" s="35">
        <f>'контракты СМР'!M117</f>
        <v>288514.13500000001</v>
      </c>
      <c r="Q26" s="37">
        <v>0.80374663585831552</v>
      </c>
      <c r="R26" s="35">
        <f>'контракты СМР'!O117</f>
        <v>258574.84599999999</v>
      </c>
      <c r="S26" s="37">
        <v>0.72034135377832353</v>
      </c>
      <c r="T26" s="32">
        <f>'контракты СМР'!S117</f>
        <v>63483.8868</v>
      </c>
      <c r="U26" s="32">
        <f>'контракты СМР'!V117</f>
        <v>70447.411559999993</v>
      </c>
      <c r="V26" s="32">
        <f>'контракты СМР'!AA117</f>
        <v>0</v>
      </c>
      <c r="W26" s="32">
        <f>'контракты СМР'!AB117</f>
        <v>0</v>
      </c>
    </row>
    <row r="27" spans="1:24" ht="89.25" customHeight="1" x14ac:dyDescent="0.2">
      <c r="A27" s="1"/>
      <c r="B27" s="22" t="e">
        <f t="shared" si="0"/>
        <v>#REF!</v>
      </c>
      <c r="C27" s="31">
        <v>23</v>
      </c>
      <c r="D27" s="40" t="s">
        <v>161</v>
      </c>
      <c r="E27" s="32">
        <f>'контракты СМР'!D95</f>
        <v>274979.44669000001</v>
      </c>
      <c r="F27" s="33">
        <v>1</v>
      </c>
      <c r="G27" s="32"/>
      <c r="H27" s="32"/>
      <c r="I27" s="32"/>
      <c r="J27" s="35">
        <f>'контракты СМР'!F95</f>
        <v>137489.723</v>
      </c>
      <c r="K27" s="36">
        <f t="shared" si="1"/>
        <v>0.49999999874536077</v>
      </c>
      <c r="L27" s="35">
        <f>'контракты СМР'!H95</f>
        <v>7581.5440499999995</v>
      </c>
      <c r="M27" s="37">
        <v>5.514262364176848E-2</v>
      </c>
      <c r="N27" s="32">
        <f>'контракты СМР'!K95</f>
        <v>7581.5440499999995</v>
      </c>
      <c r="O27" s="34">
        <v>1</v>
      </c>
      <c r="P27" s="35">
        <f>'контракты СМР'!M95</f>
        <v>7581.5440499999995</v>
      </c>
      <c r="Q27" s="37">
        <v>2.7571311751700141E-2</v>
      </c>
      <c r="R27" s="35">
        <f>'контракты СМР'!O95</f>
        <v>0</v>
      </c>
      <c r="S27" s="37">
        <v>0</v>
      </c>
      <c r="T27" s="32">
        <f>'контракты СМР'!S95</f>
        <v>87581.544049999997</v>
      </c>
      <c r="U27" s="32">
        <f>'контракты СМР'!V95</f>
        <v>71581.544049999997</v>
      </c>
      <c r="V27" s="32">
        <f>'контракты СМР'!AA95</f>
        <v>179816.35858999999</v>
      </c>
      <c r="W27" s="32">
        <f>'контракты СМР'!AB95</f>
        <v>195816.35858999999</v>
      </c>
    </row>
    <row r="28" spans="1:24" ht="89.25" customHeight="1" x14ac:dyDescent="0.2">
      <c r="A28" s="1"/>
      <c r="B28" s="22" t="e">
        <f t="shared" si="0"/>
        <v>#REF!</v>
      </c>
      <c r="C28" s="31">
        <v>24</v>
      </c>
      <c r="D28" s="40" t="s">
        <v>197</v>
      </c>
      <c r="E28" s="32">
        <f>'контракты СМР'!D119</f>
        <v>223239.46400000001</v>
      </c>
      <c r="F28" s="33">
        <v>1</v>
      </c>
      <c r="G28" s="32"/>
      <c r="H28" s="32"/>
      <c r="I28" s="32"/>
      <c r="J28" s="35">
        <f>'контракты СМР'!F119</f>
        <v>111767.802</v>
      </c>
      <c r="K28" s="36">
        <f t="shared" si="1"/>
        <v>0.50066327878300221</v>
      </c>
      <c r="L28" s="35">
        <f>'контракты СМР'!H119</f>
        <v>108880.62</v>
      </c>
      <c r="M28" s="37">
        <v>0.97416803454719458</v>
      </c>
      <c r="N28" s="32">
        <f>'контракты СМР'!K119</f>
        <v>108880.62</v>
      </c>
      <c r="O28" s="34">
        <v>1</v>
      </c>
      <c r="P28" s="35">
        <f>'контракты СМР'!M119</f>
        <v>118636.6153</v>
      </c>
      <c r="Q28" s="37">
        <v>0.4877301622619914</v>
      </c>
      <c r="R28" s="35">
        <f>'контракты СМР'!O119</f>
        <v>19808.131010000001</v>
      </c>
      <c r="S28" s="37">
        <v>0</v>
      </c>
      <c r="T28" s="32">
        <f>'контракты СМР'!S119</f>
        <v>94805.289220000006</v>
      </c>
      <c r="U28" s="32">
        <f>'контракты СМР'!V119</f>
        <v>114358.84378</v>
      </c>
      <c r="V28" s="32">
        <f>'контракты СМР'!AA119</f>
        <v>0</v>
      </c>
      <c r="W28" s="32">
        <f>'контракты СМР'!AB119</f>
        <v>0</v>
      </c>
    </row>
    <row r="29" spans="1:24" ht="89.25" customHeight="1" x14ac:dyDescent="0.2">
      <c r="A29" s="1"/>
      <c r="B29" s="22" t="e">
        <f t="shared" si="0"/>
        <v>#REF!</v>
      </c>
      <c r="C29" s="82">
        <v>25</v>
      </c>
      <c r="D29" s="83" t="s">
        <v>191</v>
      </c>
      <c r="E29" s="84">
        <f>'контракты СМР'!D115</f>
        <v>188607.68400000001</v>
      </c>
      <c r="F29" s="85">
        <v>1</v>
      </c>
      <c r="G29" s="84"/>
      <c r="H29" s="84"/>
      <c r="I29" s="84"/>
      <c r="J29" s="86">
        <f>'контракты СМР'!F115</f>
        <v>54344.157630000002</v>
      </c>
      <c r="K29" s="87">
        <f>J29/E29</f>
        <v>0.2881333171452336</v>
      </c>
      <c r="L29" s="86">
        <f>'контракты СМР'!H115</f>
        <v>54344.157630000002</v>
      </c>
      <c r="M29" s="88">
        <f>L29/J29</f>
        <v>1</v>
      </c>
      <c r="N29" s="84">
        <f>'контракты СМР'!K115</f>
        <v>0</v>
      </c>
      <c r="O29" s="88">
        <f>N29/L29</f>
        <v>0</v>
      </c>
      <c r="P29" s="86">
        <f>'контракты СМР'!M115</f>
        <v>182870.79426</v>
      </c>
      <c r="Q29" s="88">
        <f>P29/E29</f>
        <v>0.96958294795666966</v>
      </c>
      <c r="R29" s="86">
        <f>'контракты СМР'!O115</f>
        <v>183645.59074000001</v>
      </c>
      <c r="S29" s="88">
        <f>R29/E29</f>
        <v>0.97369092735373397</v>
      </c>
      <c r="T29" s="84">
        <f>'контракты СМР'!S115</f>
        <v>114943.61416</v>
      </c>
      <c r="U29" s="84">
        <f>'контракты СМР'!V115</f>
        <v>109985.85919</v>
      </c>
      <c r="V29" s="84">
        <f>'контракты СМР'!AA115</f>
        <v>0</v>
      </c>
      <c r="W29" s="84">
        <f>'контракты СМР'!AB116</f>
        <v>4957.75497</v>
      </c>
    </row>
    <row r="30" spans="1:24" s="16" customFormat="1" ht="96" customHeight="1" x14ac:dyDescent="0.2">
      <c r="A30" s="15"/>
      <c r="B30" s="80" t="e">
        <f t="shared" si="0"/>
        <v>#REF!</v>
      </c>
      <c r="C30" s="82">
        <v>26</v>
      </c>
      <c r="D30" s="90" t="s">
        <v>293</v>
      </c>
      <c r="E30" s="93">
        <f>'контракты СМР'!D131</f>
        <v>24080.922119999999</v>
      </c>
      <c r="F30" s="91">
        <v>1</v>
      </c>
      <c r="G30" s="85">
        <v>1</v>
      </c>
      <c r="H30" s="85">
        <v>1</v>
      </c>
      <c r="I30" s="85">
        <v>1</v>
      </c>
      <c r="J30" s="94">
        <f>'контракты СМР'!F131</f>
        <v>12044.46106</v>
      </c>
      <c r="K30" s="87">
        <f>J30/E30</f>
        <v>0.50016610659592131</v>
      </c>
      <c r="L30" s="94">
        <f>'контракты СМР'!H131</f>
        <v>12040.46106</v>
      </c>
      <c r="M30" s="88">
        <f>L30/J30</f>
        <v>0.99966789713710946</v>
      </c>
      <c r="N30" s="94">
        <f>'контракты СМР'!K131</f>
        <v>12040.46106</v>
      </c>
      <c r="O30" s="88">
        <f>N30/L30</f>
        <v>1</v>
      </c>
      <c r="P30" s="94">
        <f>'контракты СМР'!M131</f>
        <v>12044.46106</v>
      </c>
      <c r="Q30" s="88">
        <f>P30/E30</f>
        <v>0.50016610659592131</v>
      </c>
      <c r="R30" s="94">
        <f>'контракты СМР'!O131</f>
        <v>0</v>
      </c>
      <c r="S30" s="88">
        <f>R30/E30</f>
        <v>0</v>
      </c>
      <c r="T30" s="85"/>
      <c r="U30" s="94">
        <f>'контракты СМР'!V131</f>
        <v>24080.922119999999</v>
      </c>
      <c r="V30" s="94"/>
      <c r="W30" s="94">
        <f>'контракты СМР'!AB131</f>
        <v>0</v>
      </c>
    </row>
    <row r="31" spans="1:24" s="16" customFormat="1" ht="81.75" customHeight="1" x14ac:dyDescent="0.2">
      <c r="A31" s="17"/>
      <c r="B31" s="18"/>
      <c r="C31" s="82">
        <v>27</v>
      </c>
      <c r="D31" s="90" t="s">
        <v>285</v>
      </c>
      <c r="E31" s="95">
        <f>'контракты СМР'!D133</f>
        <v>620448.08921000001</v>
      </c>
      <c r="F31" s="91">
        <v>1</v>
      </c>
      <c r="G31" s="85">
        <v>1</v>
      </c>
      <c r="H31" s="85">
        <v>1</v>
      </c>
      <c r="I31" s="85">
        <v>1</v>
      </c>
      <c r="J31" s="94">
        <f>'контракты СМР'!F133</f>
        <v>186134.42676</v>
      </c>
      <c r="K31" s="87">
        <f>J31/E31</f>
        <v>0.2999999999951648</v>
      </c>
      <c r="L31" s="94">
        <f>'контракты СМР'!H133</f>
        <v>7161.5878700000003</v>
      </c>
      <c r="M31" s="88">
        <f>L31/J31</f>
        <v>3.8475353510149336E-2</v>
      </c>
      <c r="N31" s="94">
        <f>'контракты СМР'!K133</f>
        <v>7161.5878700000003</v>
      </c>
      <c r="O31" s="88">
        <f>N31/L31</f>
        <v>1</v>
      </c>
      <c r="P31" s="94">
        <f>'контракты СМР'!M133</f>
        <v>7161.5878700000003</v>
      </c>
      <c r="Q31" s="88">
        <f>P31/E31</f>
        <v>1.1542606052858763E-2</v>
      </c>
      <c r="R31" s="94">
        <f>'контракты СМР'!O133</f>
        <v>0</v>
      </c>
      <c r="S31" s="88">
        <f>R31/E31</f>
        <v>0</v>
      </c>
      <c r="T31" s="85"/>
      <c r="U31" s="94">
        <f>'контракты СМР'!V133</f>
        <v>23871.959559999999</v>
      </c>
      <c r="V31" s="94"/>
      <c r="W31" s="94">
        <f>'контракты СМР'!AB133</f>
        <v>100000</v>
      </c>
      <c r="X31" s="19"/>
    </row>
    <row r="32" spans="1:24" s="16" customFormat="1" ht="95.25" customHeight="1" x14ac:dyDescent="0.2">
      <c r="A32" s="15"/>
      <c r="B32" s="81" t="e">
        <f t="shared" ref="B32:B43" si="2">#REF!-#REF!-#REF!-#REF!</f>
        <v>#REF!</v>
      </c>
      <c r="C32" s="31">
        <v>28</v>
      </c>
      <c r="D32" s="92" t="s">
        <v>291</v>
      </c>
      <c r="E32" s="93">
        <f>'контракты СМР'!D135</f>
        <v>89183.072899999999</v>
      </c>
      <c r="F32" s="89">
        <v>1</v>
      </c>
      <c r="G32" s="89">
        <v>1</v>
      </c>
      <c r="H32" s="89">
        <v>1</v>
      </c>
      <c r="I32" s="89">
        <v>1</v>
      </c>
      <c r="J32" s="93">
        <f>'контракты СМР'!F135</f>
        <v>44591.53645</v>
      </c>
      <c r="K32" s="96">
        <f>J32/E32</f>
        <v>0.5</v>
      </c>
      <c r="L32" s="93">
        <f>'контракты СМР'!H135</f>
        <v>44591.53645</v>
      </c>
      <c r="M32" s="97">
        <f>L32/J32</f>
        <v>1</v>
      </c>
      <c r="N32" s="93">
        <f>'контракты СМР'!K135</f>
        <v>44591.53645</v>
      </c>
      <c r="O32" s="97">
        <v>0</v>
      </c>
      <c r="P32" s="93">
        <f>'контракты СМР'!M135</f>
        <v>44591.53645</v>
      </c>
      <c r="Q32" s="97">
        <f>P32/E32</f>
        <v>0.5</v>
      </c>
      <c r="R32" s="93">
        <f>'контракты СМР'!O135</f>
        <v>0</v>
      </c>
      <c r="S32" s="97">
        <f>R32/E32</f>
        <v>0</v>
      </c>
      <c r="T32" s="89"/>
      <c r="U32" s="93">
        <f>'контракты СМР'!V135</f>
        <v>44591.53645</v>
      </c>
      <c r="V32" s="93"/>
      <c r="W32" s="93">
        <f>'контракты СМР'!AB135</f>
        <v>44591.53645</v>
      </c>
    </row>
    <row r="33" spans="1:24" ht="62.25" customHeight="1" x14ac:dyDescent="0.5">
      <c r="A33" s="1"/>
      <c r="B33" s="4" t="e">
        <f t="shared" si="2"/>
        <v>#REF!</v>
      </c>
    </row>
    <row r="34" spans="1:24" ht="36" customHeight="1" x14ac:dyDescent="0.5">
      <c r="A34" s="1"/>
      <c r="B34" s="4" t="e">
        <f t="shared" si="2"/>
        <v>#REF!</v>
      </c>
    </row>
    <row r="35" spans="1:24" ht="75.75" customHeight="1" x14ac:dyDescent="0.5">
      <c r="A35" s="1"/>
      <c r="B35" s="4" t="e">
        <f t="shared" si="2"/>
        <v>#REF!</v>
      </c>
    </row>
    <row r="36" spans="1:24" ht="40.5" customHeight="1" x14ac:dyDescent="0.5">
      <c r="A36" s="1"/>
      <c r="B36" s="4" t="e">
        <f t="shared" si="2"/>
        <v>#REF!</v>
      </c>
    </row>
    <row r="37" spans="1:24" ht="66.75" customHeight="1" x14ac:dyDescent="0.5">
      <c r="A37" s="1"/>
      <c r="B37" s="4" t="e">
        <f t="shared" si="2"/>
        <v>#REF!</v>
      </c>
    </row>
    <row r="38" spans="1:24" ht="36.75" customHeight="1" x14ac:dyDescent="0.5">
      <c r="A38" s="1"/>
      <c r="B38" s="4" t="e">
        <f t="shared" si="2"/>
        <v>#REF!</v>
      </c>
    </row>
    <row r="39" spans="1:24" ht="63.75" customHeight="1" x14ac:dyDescent="0.5">
      <c r="A39" s="1"/>
      <c r="B39" s="4" t="e">
        <f t="shared" si="2"/>
        <v>#REF!</v>
      </c>
    </row>
    <row r="40" spans="1:24" ht="31.5" customHeight="1" x14ac:dyDescent="0.5">
      <c r="A40" s="1"/>
      <c r="B40" s="4" t="e">
        <f t="shared" si="2"/>
        <v>#REF!</v>
      </c>
    </row>
    <row r="41" spans="1:24" ht="50.25" customHeight="1" x14ac:dyDescent="0.5">
      <c r="A41" s="1"/>
      <c r="B41" s="4" t="e">
        <f t="shared" si="2"/>
        <v>#REF!</v>
      </c>
    </row>
    <row r="42" spans="1:24" ht="34.5" customHeight="1" x14ac:dyDescent="0.5">
      <c r="A42" s="1"/>
      <c r="B42" s="4" t="e">
        <f t="shared" si="2"/>
        <v>#REF!</v>
      </c>
    </row>
    <row r="43" spans="1:24" ht="48.75" customHeight="1" x14ac:dyDescent="0.5">
      <c r="A43" s="1"/>
      <c r="B43" s="4" t="e">
        <f t="shared" si="2"/>
        <v>#REF!</v>
      </c>
    </row>
    <row r="44" spans="1:24" ht="41.25" customHeight="1" x14ac:dyDescent="0.5">
      <c r="A44" s="1"/>
      <c r="B44" s="4"/>
    </row>
    <row r="45" spans="1:24" ht="45.75" customHeight="1" x14ac:dyDescent="0.5">
      <c r="A45" s="1"/>
      <c r="B45" s="4"/>
    </row>
    <row r="46" spans="1:24" ht="63" customHeight="1" x14ac:dyDescent="0.2">
      <c r="A46" s="5"/>
      <c r="B46" s="4" t="e">
        <f t="shared" ref="B46:B65" si="3">#REF!-#REF!-#REF!-#REF!</f>
        <v>#REF!</v>
      </c>
      <c r="C46" s="5"/>
      <c r="D46" s="41"/>
      <c r="E46" s="5"/>
      <c r="F46" s="5"/>
      <c r="G46" s="5"/>
      <c r="H46" s="5"/>
      <c r="I46" s="5"/>
      <c r="J46" s="10"/>
      <c r="K46" s="10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29.25" customHeight="1" x14ac:dyDescent="0.5">
      <c r="A47" s="1"/>
      <c r="B47" s="4" t="e">
        <f t="shared" si="3"/>
        <v>#REF!</v>
      </c>
    </row>
    <row r="48" spans="1:24" ht="47.25" customHeight="1" x14ac:dyDescent="0.5">
      <c r="A48" s="1"/>
      <c r="B48" s="4" t="e">
        <f t="shared" si="3"/>
        <v>#REF!</v>
      </c>
    </row>
    <row r="49" spans="1:2" ht="48.75" customHeight="1" x14ac:dyDescent="0.5">
      <c r="A49" s="1"/>
      <c r="B49" s="4" t="e">
        <f t="shared" si="3"/>
        <v>#REF!</v>
      </c>
    </row>
    <row r="50" spans="1:2" ht="45.75" customHeight="1" x14ac:dyDescent="0.5">
      <c r="A50" s="1"/>
      <c r="B50" s="4" t="e">
        <f t="shared" si="3"/>
        <v>#REF!</v>
      </c>
    </row>
    <row r="51" spans="1:2" ht="39.75" customHeight="1" x14ac:dyDescent="0.5">
      <c r="A51" s="1"/>
      <c r="B51" s="4" t="e">
        <f t="shared" si="3"/>
        <v>#REF!</v>
      </c>
    </row>
    <row r="52" spans="1:2" ht="39" customHeight="1" x14ac:dyDescent="0.5">
      <c r="A52" s="1"/>
      <c r="B52" s="4" t="e">
        <f t="shared" si="3"/>
        <v>#REF!</v>
      </c>
    </row>
    <row r="53" spans="1:2" ht="35.25" customHeight="1" x14ac:dyDescent="0.5">
      <c r="A53" s="1"/>
      <c r="B53" s="4" t="e">
        <f t="shared" si="3"/>
        <v>#REF!</v>
      </c>
    </row>
    <row r="54" spans="1:2" ht="34.5" customHeight="1" x14ac:dyDescent="0.5">
      <c r="A54" s="1"/>
      <c r="B54" s="4" t="e">
        <f t="shared" si="3"/>
        <v>#REF!</v>
      </c>
    </row>
    <row r="55" spans="1:2" ht="30" customHeight="1" x14ac:dyDescent="0.5">
      <c r="A55" s="1"/>
      <c r="B55" s="4" t="e">
        <f t="shared" si="3"/>
        <v>#REF!</v>
      </c>
    </row>
    <row r="56" spans="1:2" ht="39" customHeight="1" x14ac:dyDescent="0.5">
      <c r="A56" s="1"/>
      <c r="B56" s="4" t="e">
        <f t="shared" si="3"/>
        <v>#REF!</v>
      </c>
    </row>
    <row r="57" spans="1:2" ht="33.75" customHeight="1" x14ac:dyDescent="0.5">
      <c r="A57" s="1"/>
      <c r="B57" s="4" t="e">
        <f t="shared" si="3"/>
        <v>#REF!</v>
      </c>
    </row>
    <row r="58" spans="1:2" ht="59.25" customHeight="1" x14ac:dyDescent="0.5">
      <c r="A58" s="1"/>
      <c r="B58" s="4" t="e">
        <f t="shared" si="3"/>
        <v>#REF!</v>
      </c>
    </row>
    <row r="59" spans="1:2" ht="79.5" customHeight="1" x14ac:dyDescent="0.5">
      <c r="A59" s="1"/>
      <c r="B59" s="4" t="e">
        <f t="shared" si="3"/>
        <v>#REF!</v>
      </c>
    </row>
    <row r="60" spans="1:2" ht="34.5" customHeight="1" x14ac:dyDescent="0.5">
      <c r="A60" s="1"/>
      <c r="B60" s="4" t="e">
        <f t="shared" si="3"/>
        <v>#REF!</v>
      </c>
    </row>
    <row r="61" spans="1:2" ht="42.75" customHeight="1" x14ac:dyDescent="0.5">
      <c r="A61" s="1"/>
      <c r="B61" s="4" t="e">
        <f t="shared" si="3"/>
        <v>#REF!</v>
      </c>
    </row>
    <row r="62" spans="1:2" ht="23.25" customHeight="1" x14ac:dyDescent="0.5">
      <c r="A62" s="1"/>
      <c r="B62" s="4" t="e">
        <f t="shared" si="3"/>
        <v>#REF!</v>
      </c>
    </row>
    <row r="63" spans="1:2" ht="54.75" customHeight="1" x14ac:dyDescent="0.5">
      <c r="A63" s="1"/>
      <c r="B63" s="4" t="e">
        <f t="shared" si="3"/>
        <v>#REF!</v>
      </c>
    </row>
    <row r="64" spans="1:2" ht="39.75" customHeight="1" x14ac:dyDescent="0.5">
      <c r="A64" s="1"/>
      <c r="B64" s="4" t="e">
        <f t="shared" si="3"/>
        <v>#REF!</v>
      </c>
    </row>
    <row r="65" spans="1:24" ht="62.25" customHeight="1" x14ac:dyDescent="0.5">
      <c r="A65" s="1"/>
      <c r="B65" s="4" t="e">
        <f t="shared" si="3"/>
        <v>#REF!</v>
      </c>
    </row>
    <row r="66" spans="1:24" ht="66.75" customHeight="1" x14ac:dyDescent="0.5">
      <c r="A66" s="1"/>
      <c r="B66" s="4"/>
    </row>
    <row r="67" spans="1:24" ht="31.5" customHeight="1" x14ac:dyDescent="0.5">
      <c r="A67" s="14"/>
      <c r="B67" s="6"/>
      <c r="C67" s="7"/>
      <c r="D67" s="42"/>
      <c r="E67" s="7"/>
      <c r="F67" s="7"/>
      <c r="G67" s="7"/>
      <c r="H67" s="7"/>
      <c r="I67" s="7"/>
      <c r="J67" s="25"/>
      <c r="K67" s="2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49.5" customHeight="1" x14ac:dyDescent="0.5">
      <c r="A68" s="14"/>
      <c r="B68" s="6"/>
      <c r="C68" s="7"/>
      <c r="D68" s="42"/>
      <c r="E68" s="7"/>
      <c r="F68" s="7"/>
      <c r="G68" s="7"/>
      <c r="H68" s="7"/>
      <c r="I68" s="7"/>
      <c r="J68" s="25"/>
      <c r="K68" s="2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49.5" customHeight="1" x14ac:dyDescent="0.5">
      <c r="A69" s="14"/>
      <c r="B69" s="6"/>
      <c r="C69" s="7"/>
      <c r="D69" s="42"/>
      <c r="E69" s="7"/>
      <c r="F69" s="7"/>
      <c r="G69" s="7"/>
      <c r="H69" s="7"/>
      <c r="I69" s="7"/>
      <c r="J69" s="25"/>
      <c r="K69" s="2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49.5" customHeight="1" x14ac:dyDescent="0.5">
      <c r="A70" s="14"/>
      <c r="B70" s="6"/>
      <c r="C70" s="7"/>
      <c r="D70" s="42"/>
      <c r="E70" s="7"/>
      <c r="F70" s="7"/>
      <c r="G70" s="7"/>
      <c r="H70" s="7"/>
      <c r="I70" s="7"/>
      <c r="J70" s="25"/>
      <c r="K70" s="2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66.75" customHeight="1" x14ac:dyDescent="0.5">
      <c r="A71" s="1"/>
      <c r="B71" s="4"/>
    </row>
    <row r="72" spans="1:24" ht="36" customHeight="1" x14ac:dyDescent="0.5">
      <c r="A72" s="1"/>
      <c r="B72" s="4" t="e">
        <f t="shared" ref="B72:B85" si="4">#REF!-#REF!-#REF!-#REF!</f>
        <v>#REF!</v>
      </c>
    </row>
    <row r="73" spans="1:24" ht="54" customHeight="1" x14ac:dyDescent="0.5">
      <c r="A73" s="1"/>
      <c r="B73" s="4" t="e">
        <f t="shared" si="4"/>
        <v>#REF!</v>
      </c>
    </row>
    <row r="74" spans="1:24" ht="36" customHeight="1" x14ac:dyDescent="0.5">
      <c r="A74" s="1"/>
      <c r="B74" s="4" t="e">
        <f t="shared" si="4"/>
        <v>#REF!</v>
      </c>
    </row>
    <row r="75" spans="1:24" ht="54" customHeight="1" x14ac:dyDescent="0.5">
      <c r="A75" s="1"/>
      <c r="B75" s="4" t="e">
        <f t="shared" si="4"/>
        <v>#REF!</v>
      </c>
    </row>
    <row r="76" spans="1:24" ht="36" customHeight="1" x14ac:dyDescent="0.5">
      <c r="A76" s="1"/>
      <c r="B76" s="4" t="e">
        <f t="shared" si="4"/>
        <v>#REF!</v>
      </c>
    </row>
    <row r="77" spans="1:24" ht="51.75" customHeight="1" x14ac:dyDescent="0.5">
      <c r="A77" s="1"/>
      <c r="B77" s="4" t="e">
        <f t="shared" si="4"/>
        <v>#REF!</v>
      </c>
    </row>
    <row r="78" spans="1:24" ht="36" customHeight="1" x14ac:dyDescent="0.5">
      <c r="A78" s="1"/>
      <c r="B78" s="4" t="e">
        <f t="shared" si="4"/>
        <v>#REF!</v>
      </c>
    </row>
    <row r="79" spans="1:24" ht="52.5" customHeight="1" x14ac:dyDescent="0.5">
      <c r="A79" s="1"/>
      <c r="B79" s="4" t="e">
        <f t="shared" si="4"/>
        <v>#REF!</v>
      </c>
    </row>
    <row r="80" spans="1:24" ht="37.5" customHeight="1" x14ac:dyDescent="0.5">
      <c r="A80" s="1"/>
      <c r="B80" s="4" t="e">
        <f t="shared" si="4"/>
        <v>#REF!</v>
      </c>
    </row>
    <row r="81" spans="1:2" ht="59.25" customHeight="1" x14ac:dyDescent="0.5">
      <c r="A81" s="1"/>
      <c r="B81" s="4" t="e">
        <f t="shared" si="4"/>
        <v>#REF!</v>
      </c>
    </row>
    <row r="82" spans="1:2" ht="50.25" customHeight="1" x14ac:dyDescent="0.5">
      <c r="A82" s="1"/>
      <c r="B82" s="4" t="e">
        <f t="shared" si="4"/>
        <v>#REF!</v>
      </c>
    </row>
    <row r="83" spans="1:2" ht="36" customHeight="1" x14ac:dyDescent="0.5">
      <c r="A83" s="1"/>
      <c r="B83" s="4" t="e">
        <f t="shared" si="4"/>
        <v>#REF!</v>
      </c>
    </row>
    <row r="84" spans="1:2" ht="36" customHeight="1" x14ac:dyDescent="0.5">
      <c r="A84" s="1"/>
      <c r="B84" s="4" t="e">
        <f t="shared" si="4"/>
        <v>#REF!</v>
      </c>
    </row>
    <row r="85" spans="1:2" ht="42.75" customHeight="1" x14ac:dyDescent="0.5">
      <c r="A85" s="1"/>
      <c r="B85" s="4" t="e">
        <f t="shared" si="4"/>
        <v>#REF!</v>
      </c>
    </row>
    <row r="86" spans="1:2" ht="54" customHeight="1" x14ac:dyDescent="0.5">
      <c r="A86" s="1"/>
      <c r="B86" s="2"/>
    </row>
    <row r="87" spans="1:2" ht="45" customHeight="1" x14ac:dyDescent="0.5">
      <c r="A87" s="1"/>
      <c r="B87" s="4" t="e">
        <f t="shared" ref="B87:B102" si="5">#REF!-#REF!-#REF!-#REF!</f>
        <v>#REF!</v>
      </c>
    </row>
    <row r="88" spans="1:2" ht="45" customHeight="1" x14ac:dyDescent="0.5">
      <c r="A88" s="1"/>
      <c r="B88" s="4" t="e">
        <f t="shared" si="5"/>
        <v>#REF!</v>
      </c>
    </row>
    <row r="89" spans="1:2" ht="43.5" customHeight="1" x14ac:dyDescent="0.5">
      <c r="A89" s="1"/>
      <c r="B89" s="4" t="e">
        <f t="shared" si="5"/>
        <v>#REF!</v>
      </c>
    </row>
    <row r="90" spans="1:2" ht="54.75" customHeight="1" x14ac:dyDescent="0.5">
      <c r="A90" s="1"/>
      <c r="B90" s="4" t="e">
        <f t="shared" si="5"/>
        <v>#REF!</v>
      </c>
    </row>
    <row r="91" spans="1:2" ht="38.25" customHeight="1" x14ac:dyDescent="0.5">
      <c r="A91" s="1"/>
      <c r="B91" s="4" t="e">
        <f t="shared" si="5"/>
        <v>#REF!</v>
      </c>
    </row>
    <row r="92" spans="1:2" ht="54" customHeight="1" x14ac:dyDescent="0.5">
      <c r="A92" s="1"/>
      <c r="B92" s="4" t="e">
        <f t="shared" si="5"/>
        <v>#REF!</v>
      </c>
    </row>
    <row r="93" spans="1:2" ht="43.5" customHeight="1" x14ac:dyDescent="0.5">
      <c r="A93" s="1"/>
      <c r="B93" s="4" t="e">
        <f t="shared" si="5"/>
        <v>#REF!</v>
      </c>
    </row>
    <row r="94" spans="1:2" ht="70.5" customHeight="1" x14ac:dyDescent="0.5">
      <c r="A94" s="1"/>
      <c r="B94" s="4" t="e">
        <f t="shared" si="5"/>
        <v>#REF!</v>
      </c>
    </row>
    <row r="95" spans="1:2" ht="47.25" customHeight="1" x14ac:dyDescent="0.5">
      <c r="A95" s="1"/>
      <c r="B95" s="4" t="e">
        <f t="shared" si="5"/>
        <v>#REF!</v>
      </c>
    </row>
    <row r="96" spans="1:2" ht="95.25" customHeight="1" x14ac:dyDescent="0.5">
      <c r="A96" s="1"/>
      <c r="B96" s="4" t="e">
        <f t="shared" si="5"/>
        <v>#REF!</v>
      </c>
    </row>
    <row r="97" spans="1:2" ht="33.75" customHeight="1" x14ac:dyDescent="0.5">
      <c r="A97" s="1"/>
      <c r="B97" s="4" t="e">
        <f t="shared" si="5"/>
        <v>#REF!</v>
      </c>
    </row>
    <row r="98" spans="1:2" ht="57.75" customHeight="1" x14ac:dyDescent="0.5">
      <c r="A98" s="1"/>
      <c r="B98" s="4" t="e">
        <f t="shared" si="5"/>
        <v>#REF!</v>
      </c>
    </row>
    <row r="99" spans="1:2" ht="42" customHeight="1" x14ac:dyDescent="0.5">
      <c r="A99" s="1"/>
      <c r="B99" s="4" t="e">
        <f t="shared" si="5"/>
        <v>#REF!</v>
      </c>
    </row>
    <row r="100" spans="1:2" ht="61.5" customHeight="1" x14ac:dyDescent="0.5">
      <c r="A100" s="1"/>
      <c r="B100" s="4" t="e">
        <f t="shared" si="5"/>
        <v>#REF!</v>
      </c>
    </row>
    <row r="101" spans="1:2" ht="36" customHeight="1" x14ac:dyDescent="0.5">
      <c r="A101" s="1"/>
      <c r="B101" s="4" t="e">
        <f t="shared" si="5"/>
        <v>#REF!</v>
      </c>
    </row>
    <row r="102" spans="1:2" ht="51" customHeight="1" x14ac:dyDescent="0.5">
      <c r="A102" s="1"/>
      <c r="B102" s="4" t="e">
        <f t="shared" si="5"/>
        <v>#REF!</v>
      </c>
    </row>
    <row r="103" spans="1:2" ht="54" customHeight="1" x14ac:dyDescent="0.5">
      <c r="A103" s="1"/>
      <c r="B103" s="2"/>
    </row>
    <row r="104" spans="1:2" ht="37.5" customHeight="1" x14ac:dyDescent="0.5">
      <c r="A104" s="1"/>
      <c r="B104" s="2"/>
    </row>
    <row r="105" spans="1:2" ht="49.5" customHeight="1" x14ac:dyDescent="0.5">
      <c r="A105" s="1"/>
      <c r="B105" s="2"/>
    </row>
    <row r="106" spans="1:2" ht="36.75" customHeight="1" x14ac:dyDescent="0.5">
      <c r="A106" s="1"/>
      <c r="B106" s="2"/>
    </row>
    <row r="107" spans="1:2" ht="48" customHeight="1" x14ac:dyDescent="0.5">
      <c r="A107" s="1"/>
      <c r="B107" s="2"/>
    </row>
    <row r="108" spans="1:2" ht="34.5" customHeight="1" x14ac:dyDescent="0.5">
      <c r="A108" s="1"/>
      <c r="B108" s="2"/>
    </row>
    <row r="109" spans="1:2" ht="63.75" customHeight="1" x14ac:dyDescent="0.5">
      <c r="A109" s="1"/>
      <c r="B109" s="2"/>
    </row>
    <row r="110" spans="1:2" ht="34.5" customHeight="1" x14ac:dyDescent="0.5">
      <c r="A110" s="1"/>
      <c r="B110" s="2"/>
    </row>
    <row r="111" spans="1:2" ht="65.25" customHeight="1" x14ac:dyDescent="0.5">
      <c r="A111" s="1"/>
      <c r="B111" s="2"/>
    </row>
    <row r="112" spans="1:2" ht="45.75" customHeight="1" x14ac:dyDescent="0.5">
      <c r="A112" s="1"/>
      <c r="B112" s="2"/>
    </row>
    <row r="113" spans="1:2" ht="72" customHeight="1" x14ac:dyDescent="0.5">
      <c r="A113" s="1"/>
      <c r="B113" s="2"/>
    </row>
    <row r="114" spans="1:2" ht="65.25" customHeight="1" x14ac:dyDescent="0.5">
      <c r="A114" s="1"/>
      <c r="B114" s="2"/>
    </row>
    <row r="115" spans="1:2" ht="96" customHeight="1" x14ac:dyDescent="0.5">
      <c r="A115" s="1"/>
      <c r="B115" s="4" t="e">
        <f t="shared" ref="B115:B122" si="6">#REF!-#REF!-#REF!-#REF!</f>
        <v>#REF!</v>
      </c>
    </row>
    <row r="116" spans="1:2" ht="96.75" customHeight="1" x14ac:dyDescent="0.5">
      <c r="A116" s="1"/>
      <c r="B116" s="4" t="e">
        <f t="shared" si="6"/>
        <v>#REF!</v>
      </c>
    </row>
    <row r="117" spans="1:2" ht="72.75" customHeight="1" x14ac:dyDescent="0.5">
      <c r="A117" s="1"/>
      <c r="B117" s="4" t="e">
        <f t="shared" si="6"/>
        <v>#REF!</v>
      </c>
    </row>
    <row r="118" spans="1:2" ht="76.5" customHeight="1" x14ac:dyDescent="0.5">
      <c r="A118" s="1"/>
      <c r="B118" s="4" t="e">
        <f t="shared" si="6"/>
        <v>#REF!</v>
      </c>
    </row>
    <row r="119" spans="1:2" ht="75" customHeight="1" x14ac:dyDescent="0.5">
      <c r="A119" s="1"/>
      <c r="B119" s="4" t="e">
        <f t="shared" si="6"/>
        <v>#REF!</v>
      </c>
    </row>
    <row r="120" spans="1:2" ht="70.5" customHeight="1" x14ac:dyDescent="0.5">
      <c r="A120" s="1"/>
      <c r="B120" s="4" t="e">
        <f t="shared" si="6"/>
        <v>#REF!</v>
      </c>
    </row>
    <row r="121" spans="1:2" ht="15.75" customHeight="1" x14ac:dyDescent="0.5">
      <c r="A121" s="1"/>
      <c r="B121" s="4" t="e">
        <f t="shared" si="6"/>
        <v>#REF!</v>
      </c>
    </row>
    <row r="122" spans="1:2" ht="108.75" customHeight="1" x14ac:dyDescent="0.5">
      <c r="A122" s="1"/>
      <c r="B122" s="4" t="e">
        <f t="shared" si="6"/>
        <v>#REF!</v>
      </c>
    </row>
    <row r="123" spans="1:2" ht="58.5" customHeight="1" x14ac:dyDescent="0.5">
      <c r="A123" s="1"/>
      <c r="B123" s="1"/>
    </row>
    <row r="124" spans="1:2" ht="36.75" customHeight="1" x14ac:dyDescent="0.5">
      <c r="A124" s="1"/>
      <c r="B124" s="1"/>
    </row>
    <row r="125" spans="1:2" ht="61.5" customHeight="1" x14ac:dyDescent="0.5">
      <c r="A125" s="1"/>
      <c r="B125" s="1"/>
    </row>
    <row r="126" spans="1:2" ht="35.25" customHeight="1" x14ac:dyDescent="0.5">
      <c r="A126" s="1"/>
      <c r="B126" s="1"/>
    </row>
    <row r="127" spans="1:2" ht="66" customHeight="1" x14ac:dyDescent="0.5">
      <c r="A127" s="1"/>
      <c r="B127" s="1"/>
    </row>
    <row r="128" spans="1:2" ht="36" customHeight="1" x14ac:dyDescent="0.5">
      <c r="A128" s="1"/>
      <c r="B128" s="1"/>
    </row>
    <row r="129" spans="1:2" ht="60.75" customHeight="1" x14ac:dyDescent="0.5">
      <c r="A129" s="1"/>
      <c r="B129" s="1"/>
    </row>
    <row r="130" spans="1:2" ht="39.75" customHeight="1" x14ac:dyDescent="0.5">
      <c r="A130" s="1"/>
      <c r="B130" s="1"/>
    </row>
    <row r="131" spans="1:2" ht="56.25" customHeight="1" x14ac:dyDescent="0.5">
      <c r="A131" s="1"/>
      <c r="B131" s="1"/>
    </row>
    <row r="132" spans="1:2" ht="15.75" customHeight="1" x14ac:dyDescent="0.5">
      <c r="A132" s="1"/>
      <c r="B132" s="1"/>
    </row>
    <row r="133" spans="1:2" ht="39" customHeight="1" x14ac:dyDescent="0.5">
      <c r="A133" s="1"/>
      <c r="B133" s="1"/>
    </row>
    <row r="134" spans="1:2" ht="51.75" customHeight="1" x14ac:dyDescent="0.5">
      <c r="A134" s="1"/>
      <c r="B134" s="1"/>
    </row>
    <row r="135" spans="1:2" ht="36.75" customHeight="1" x14ac:dyDescent="0.5">
      <c r="A135" s="1"/>
      <c r="B135" s="1"/>
    </row>
    <row r="136" spans="1:2" ht="61.5" customHeight="1" x14ac:dyDescent="0.5">
      <c r="A136" s="1"/>
      <c r="B136" s="1"/>
    </row>
    <row r="137" spans="1:2" ht="36.75" customHeight="1" x14ac:dyDescent="0.5">
      <c r="A137" s="1"/>
      <c r="B137" s="1"/>
    </row>
    <row r="138" spans="1:2" ht="59.25" customHeight="1" x14ac:dyDescent="0.5">
      <c r="A138" s="1"/>
      <c r="B138" s="1"/>
    </row>
    <row r="139" spans="1:2" ht="34.5" customHeight="1" x14ac:dyDescent="0.5">
      <c r="A139" s="1"/>
      <c r="B139" s="1"/>
    </row>
    <row r="140" spans="1:2" ht="48.75" customHeight="1" x14ac:dyDescent="0.5">
      <c r="A140" s="1"/>
      <c r="B140" s="1"/>
    </row>
    <row r="141" spans="1:2" ht="39" customHeight="1" x14ac:dyDescent="0.5">
      <c r="A141" s="1"/>
      <c r="B141" s="1"/>
    </row>
    <row r="142" spans="1:2" ht="44.25" customHeight="1" x14ac:dyDescent="0.5">
      <c r="A142" s="1"/>
      <c r="B142" s="1"/>
    </row>
    <row r="143" spans="1:2" ht="39.75" customHeight="1" x14ac:dyDescent="0.5">
      <c r="A143" s="1"/>
      <c r="B143" s="1"/>
    </row>
    <row r="144" spans="1:2" ht="64.5" customHeight="1" x14ac:dyDescent="0.5">
      <c r="A144" s="1"/>
      <c r="B144" s="1"/>
    </row>
    <row r="145" spans="1:2" ht="41.25" customHeight="1" x14ac:dyDescent="0.5">
      <c r="A145" s="1"/>
      <c r="B145" s="1"/>
    </row>
    <row r="146" spans="1:2" ht="54.75" customHeight="1" x14ac:dyDescent="0.5">
      <c r="A146" s="1"/>
      <c r="B146" s="1"/>
    </row>
    <row r="147" spans="1:2" ht="15.75" customHeight="1" x14ac:dyDescent="0.5">
      <c r="A147" s="1"/>
      <c r="B147" s="1"/>
    </row>
    <row r="148" spans="1:2" ht="38.25" customHeight="1" x14ac:dyDescent="0.5">
      <c r="A148" s="1"/>
      <c r="B148" s="1"/>
    </row>
    <row r="149" spans="1:2" ht="23.25" customHeight="1" x14ac:dyDescent="0.5">
      <c r="A149" s="1"/>
      <c r="B149" s="1"/>
    </row>
    <row r="150" spans="1:2" ht="45.75" customHeight="1" x14ac:dyDescent="0.5">
      <c r="A150" s="1"/>
      <c r="B150" s="1"/>
    </row>
    <row r="151" spans="1:2" ht="46.5" customHeight="1" x14ac:dyDescent="0.5">
      <c r="A151" s="1"/>
      <c r="B151" s="1"/>
    </row>
    <row r="152" spans="1:2" ht="15.75" customHeight="1" x14ac:dyDescent="0.5">
      <c r="A152" s="1"/>
      <c r="B152" s="1"/>
    </row>
    <row r="153" spans="1:2" ht="41.25" customHeight="1" x14ac:dyDescent="0.5">
      <c r="A153" s="1"/>
      <c r="B153" s="1"/>
    </row>
    <row r="154" spans="1:2" ht="42.75" customHeight="1" x14ac:dyDescent="0.5">
      <c r="A154" s="1"/>
      <c r="B154" s="1"/>
    </row>
    <row r="155" spans="1:2" ht="15.75" customHeight="1" x14ac:dyDescent="0.5">
      <c r="A155" s="1"/>
      <c r="B155" s="1"/>
    </row>
    <row r="156" spans="1:2" ht="45.75" customHeight="1" x14ac:dyDescent="0.5">
      <c r="A156" s="1"/>
      <c r="B156" s="1"/>
    </row>
    <row r="157" spans="1:2" ht="27" customHeight="1" x14ac:dyDescent="0.5">
      <c r="A157" s="1"/>
      <c r="B157" s="1"/>
    </row>
    <row r="158" spans="1:2" ht="35.25" customHeight="1" x14ac:dyDescent="0.5">
      <c r="A158" s="1"/>
      <c r="B158" s="1"/>
    </row>
    <row r="159" spans="1:2" ht="51.75" customHeight="1" x14ac:dyDescent="0.5">
      <c r="A159" s="1"/>
      <c r="B159" s="1"/>
    </row>
    <row r="160" spans="1:2" ht="59.25" customHeight="1" x14ac:dyDescent="0.5">
      <c r="A160" s="1"/>
      <c r="B160" s="1"/>
    </row>
    <row r="161" spans="1:2" ht="31.5" customHeight="1" x14ac:dyDescent="0.5">
      <c r="A161" s="1"/>
      <c r="B161" s="1"/>
    </row>
    <row r="162" spans="1:2" ht="45" customHeight="1" x14ac:dyDescent="0.5">
      <c r="A162" s="1"/>
      <c r="B162" s="1"/>
    </row>
    <row r="163" spans="1:2" ht="49.5" customHeight="1" x14ac:dyDescent="0.5">
      <c r="A163" s="1"/>
      <c r="B163" s="1"/>
    </row>
    <row r="164" spans="1:2" ht="43.5" customHeight="1" x14ac:dyDescent="0.5">
      <c r="A164" s="1"/>
      <c r="B164" s="1"/>
    </row>
    <row r="165" spans="1:2" ht="39" customHeight="1" x14ac:dyDescent="0.5">
      <c r="A165" s="1"/>
      <c r="B165" s="1"/>
    </row>
    <row r="166" spans="1:2" ht="59.25" customHeight="1" x14ac:dyDescent="0.5">
      <c r="A166" s="1"/>
      <c r="B166" s="1"/>
    </row>
    <row r="167" spans="1:2" ht="37.5" customHeight="1" x14ac:dyDescent="0.5">
      <c r="A167" s="1"/>
      <c r="B167" s="1"/>
    </row>
    <row r="168" spans="1:2" ht="45" customHeight="1" x14ac:dyDescent="0.5">
      <c r="A168" s="1"/>
      <c r="B168" s="1"/>
    </row>
    <row r="169" spans="1:2" ht="43.5" customHeight="1" x14ac:dyDescent="0.5">
      <c r="A169" s="1"/>
      <c r="B169" s="1"/>
    </row>
    <row r="170" spans="1:2" ht="45.75" customHeight="1" x14ac:dyDescent="0.5">
      <c r="A170" s="1"/>
      <c r="B170" s="1"/>
    </row>
    <row r="171" spans="1:2" ht="56.25" customHeight="1" x14ac:dyDescent="0.5">
      <c r="A171" s="1"/>
      <c r="B171" s="1"/>
    </row>
    <row r="172" spans="1:2" ht="39" customHeight="1" x14ac:dyDescent="0.5">
      <c r="A172" s="1"/>
      <c r="B172" s="1"/>
    </row>
    <row r="173" spans="1:2" ht="40.5" customHeight="1" x14ac:dyDescent="0.5">
      <c r="A173" s="1"/>
      <c r="B173" s="1"/>
    </row>
    <row r="174" spans="1:2" ht="33.75" customHeight="1" x14ac:dyDescent="0.5">
      <c r="A174" s="1"/>
      <c r="B174" s="1"/>
    </row>
    <row r="175" spans="1:2" ht="49.5" customHeight="1" x14ac:dyDescent="0.5">
      <c r="A175" s="1"/>
      <c r="B175" s="1"/>
    </row>
    <row r="176" spans="1:2" ht="79.5" customHeight="1" x14ac:dyDescent="0.5">
      <c r="A176" s="1"/>
      <c r="B176" s="1"/>
    </row>
    <row r="177" spans="1:2" ht="46.5" customHeight="1" x14ac:dyDescent="0.5">
      <c r="A177" s="1"/>
      <c r="B177" s="1"/>
    </row>
    <row r="178" spans="1:2" ht="39" customHeight="1" x14ac:dyDescent="0.5">
      <c r="A178" s="1"/>
      <c r="B178" s="1"/>
    </row>
    <row r="179" spans="1:2" ht="42.75" customHeight="1" x14ac:dyDescent="0.5">
      <c r="A179" s="1"/>
      <c r="B179" s="1"/>
    </row>
    <row r="180" spans="1:2" ht="41.25" customHeight="1" x14ac:dyDescent="0.5">
      <c r="A180" s="1"/>
      <c r="B180" s="1"/>
    </row>
    <row r="181" spans="1:2" ht="45.75" customHeight="1" x14ac:dyDescent="0.5">
      <c r="A181" s="1"/>
      <c r="B181" s="1"/>
    </row>
    <row r="182" spans="1:2" ht="42.75" customHeight="1" x14ac:dyDescent="0.5">
      <c r="A182" s="1"/>
      <c r="B182" s="1"/>
    </row>
    <row r="183" spans="1:2" ht="42.75" customHeight="1" x14ac:dyDescent="0.5">
      <c r="A183" s="1"/>
      <c r="B183" s="1"/>
    </row>
    <row r="184" spans="1:2" ht="45" customHeight="1" x14ac:dyDescent="0.5">
      <c r="A184" s="1"/>
      <c r="B184" s="1"/>
    </row>
    <row r="185" spans="1:2" ht="62.25" customHeight="1" x14ac:dyDescent="0.5">
      <c r="A185" s="1"/>
      <c r="B185" s="1"/>
    </row>
    <row r="186" spans="1:2" ht="36.75" customHeight="1" x14ac:dyDescent="0.5">
      <c r="A186" s="1"/>
      <c r="B186" s="1"/>
    </row>
    <row r="187" spans="1:2" ht="32.25" customHeight="1" x14ac:dyDescent="0.5">
      <c r="A187" s="1"/>
      <c r="B187" s="1"/>
    </row>
    <row r="188" spans="1:2" ht="37.5" customHeight="1" x14ac:dyDescent="0.5">
      <c r="A188" s="1"/>
      <c r="B188" s="1"/>
    </row>
    <row r="189" spans="1:2" ht="36" customHeight="1" x14ac:dyDescent="0.5">
      <c r="A189" s="1"/>
      <c r="B189" s="1"/>
    </row>
    <row r="190" spans="1:2" ht="39" customHeight="1" x14ac:dyDescent="0.5">
      <c r="A190" s="1"/>
      <c r="B190" s="1"/>
    </row>
    <row r="191" spans="1:2" ht="39" customHeight="1" x14ac:dyDescent="0.5">
      <c r="A191" s="1"/>
      <c r="B191" s="1"/>
    </row>
    <row r="192" spans="1:2" ht="72" customHeight="1" x14ac:dyDescent="0.5">
      <c r="A192" s="1"/>
      <c r="B192" s="1"/>
    </row>
    <row r="193" spans="1:24" ht="48.75" customHeight="1" x14ac:dyDescent="0.5">
      <c r="A193" s="1"/>
      <c r="B193" s="1"/>
    </row>
    <row r="194" spans="1:24" ht="51.75" customHeight="1" x14ac:dyDescent="0.5">
      <c r="A194" s="1"/>
      <c r="B194" s="1"/>
    </row>
    <row r="195" spans="1:24" ht="53.25" customHeight="1" x14ac:dyDescent="0.5">
      <c r="A195" s="1"/>
      <c r="B195" s="1"/>
    </row>
    <row r="196" spans="1:24" ht="39.75" customHeight="1" x14ac:dyDescent="0.5">
      <c r="A196" s="1"/>
      <c r="B196" s="1"/>
    </row>
    <row r="197" spans="1:24" ht="45.75" customHeight="1" x14ac:dyDescent="0.5">
      <c r="A197" s="1"/>
      <c r="B197" s="1"/>
    </row>
    <row r="198" spans="1:24" ht="54.75" customHeight="1" x14ac:dyDescent="0.5">
      <c r="A198" s="1"/>
      <c r="B198" s="1"/>
    </row>
    <row r="199" spans="1:24" ht="48" customHeight="1" x14ac:dyDescent="0.5">
      <c r="A199" s="1"/>
      <c r="B199" s="1"/>
    </row>
    <row r="200" spans="1:24" ht="46.5" customHeight="1" x14ac:dyDescent="0.5">
      <c r="A200" s="1"/>
      <c r="B200" s="1"/>
    </row>
    <row r="201" spans="1:24" ht="55.5" customHeight="1" x14ac:dyDescent="0.5">
      <c r="A201" s="1"/>
      <c r="B201" s="1"/>
    </row>
    <row r="202" spans="1:24" ht="36.75" customHeight="1" x14ac:dyDescent="0.5">
      <c r="A202" s="1"/>
      <c r="B202" s="1"/>
    </row>
    <row r="203" spans="1:24" ht="36.75" customHeight="1" x14ac:dyDescent="0.5">
      <c r="A203" s="1"/>
      <c r="B203" s="1"/>
    </row>
    <row r="204" spans="1:24" ht="40.5" customHeight="1" x14ac:dyDescent="0.5">
      <c r="A204" s="1"/>
      <c r="B204" s="1"/>
    </row>
    <row r="205" spans="1:24" ht="39" customHeight="1" x14ac:dyDescent="0.5">
      <c r="A205" s="1"/>
      <c r="B205" s="1"/>
    </row>
    <row r="206" spans="1:24" ht="75" customHeight="1" x14ac:dyDescent="0.5">
      <c r="A206" s="8"/>
      <c r="B206" s="8"/>
      <c r="C206" s="9"/>
      <c r="D206" s="43"/>
      <c r="E206" s="9"/>
      <c r="F206" s="9"/>
      <c r="G206" s="9"/>
      <c r="H206" s="9"/>
      <c r="I206" s="9"/>
      <c r="J206" s="26"/>
      <c r="K206" s="26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 ht="54.75" customHeight="1" x14ac:dyDescent="0.5">
      <c r="A207" s="1"/>
      <c r="B207" s="1"/>
    </row>
    <row r="208" spans="1:24" ht="48" customHeight="1" x14ac:dyDescent="0.5">
      <c r="A208" s="1"/>
      <c r="B208" s="1"/>
    </row>
    <row r="209" spans="1:2" ht="87.75" customHeight="1" x14ac:dyDescent="0.5">
      <c r="A209" s="1"/>
      <c r="B209" s="1"/>
    </row>
    <row r="210" spans="1:2" ht="51" customHeight="1" x14ac:dyDescent="0.5">
      <c r="A210" s="1"/>
      <c r="B210" s="1"/>
    </row>
    <row r="211" spans="1:2" ht="39.75" customHeight="1" x14ac:dyDescent="0.5">
      <c r="A211" s="1"/>
      <c r="B211" s="1"/>
    </row>
    <row r="212" spans="1:2" ht="41.25" customHeight="1" x14ac:dyDescent="0.5">
      <c r="A212" s="1"/>
      <c r="B212" s="1"/>
    </row>
    <row r="213" spans="1:2" ht="43.5" customHeight="1" x14ac:dyDescent="0.5">
      <c r="A213" s="1"/>
      <c r="B213" s="1"/>
    </row>
    <row r="214" spans="1:2" ht="55.5" customHeight="1" x14ac:dyDescent="0.5">
      <c r="A214" s="1"/>
      <c r="B214" s="1"/>
    </row>
    <row r="215" spans="1:2" ht="52.5" customHeight="1" x14ac:dyDescent="0.5">
      <c r="A215" s="1"/>
      <c r="B215" s="1"/>
    </row>
    <row r="216" spans="1:2" ht="47.25" customHeight="1" x14ac:dyDescent="0.5">
      <c r="A216" s="1"/>
      <c r="B216" s="1"/>
    </row>
    <row r="217" spans="1:2" ht="15.75" customHeight="1" x14ac:dyDescent="0.5">
      <c r="A217" s="1"/>
      <c r="B217" s="1"/>
    </row>
    <row r="218" spans="1:2" ht="15.75" customHeight="1" x14ac:dyDescent="0.5">
      <c r="A218" s="1"/>
      <c r="B218" s="1"/>
    </row>
    <row r="219" spans="1:2" ht="15.75" customHeight="1" x14ac:dyDescent="0.5">
      <c r="A219" s="1"/>
      <c r="B219" s="1"/>
    </row>
    <row r="220" spans="1:2" ht="15.75" customHeight="1" x14ac:dyDescent="0.5">
      <c r="A220" s="1"/>
      <c r="B220" s="1"/>
    </row>
    <row r="221" spans="1:2" ht="15.75" customHeight="1" x14ac:dyDescent="0.5">
      <c r="A221" s="1"/>
      <c r="B221" s="1"/>
    </row>
    <row r="222" spans="1:2" ht="15.75" customHeight="1" x14ac:dyDescent="0.5">
      <c r="A222" s="1"/>
      <c r="B222" s="1"/>
    </row>
    <row r="223" spans="1:2" ht="15.75" customHeight="1" x14ac:dyDescent="0.5">
      <c r="A223" s="1"/>
      <c r="B223" s="1"/>
    </row>
    <row r="224" spans="1:2" ht="15.75" customHeight="1" x14ac:dyDescent="0.5">
      <c r="A224" s="1"/>
      <c r="B224" s="1"/>
    </row>
    <row r="225" spans="1:2" ht="15.75" customHeight="1" x14ac:dyDescent="0.5">
      <c r="A225" s="1"/>
      <c r="B225" s="1"/>
    </row>
    <row r="226" spans="1:2" ht="15.75" customHeight="1" x14ac:dyDescent="0.5">
      <c r="A226" s="1"/>
      <c r="B226" s="1"/>
    </row>
    <row r="227" spans="1:2" ht="15.75" customHeight="1" x14ac:dyDescent="0.5">
      <c r="A227" s="1"/>
      <c r="B227" s="1"/>
    </row>
    <row r="228" spans="1:2" ht="15.75" customHeight="1" x14ac:dyDescent="0.5">
      <c r="A228" s="1"/>
      <c r="B228" s="1"/>
    </row>
    <row r="229" spans="1:2" ht="15.75" customHeight="1" x14ac:dyDescent="0.5">
      <c r="A229" s="1"/>
      <c r="B229" s="1"/>
    </row>
    <row r="230" spans="1:2" ht="15.75" customHeight="1" x14ac:dyDescent="0.5">
      <c r="A230" s="1"/>
      <c r="B230" s="1"/>
    </row>
    <row r="231" spans="1:2" ht="15.75" customHeight="1" x14ac:dyDescent="0.5">
      <c r="A231" s="1"/>
      <c r="B231" s="1"/>
    </row>
    <row r="232" spans="1:2" ht="15.75" customHeight="1" x14ac:dyDescent="0.5">
      <c r="A232" s="1"/>
      <c r="B232" s="1"/>
    </row>
    <row r="233" spans="1:2" ht="15.75" customHeight="1" x14ac:dyDescent="0.5">
      <c r="A233" s="1"/>
      <c r="B233" s="1"/>
    </row>
    <row r="234" spans="1:2" ht="15.75" customHeight="1" x14ac:dyDescent="0.5">
      <c r="A234" s="1"/>
      <c r="B234" s="1"/>
    </row>
    <row r="235" spans="1:2" ht="15.75" customHeight="1" x14ac:dyDescent="0.5">
      <c r="A235" s="1"/>
      <c r="B235" s="1"/>
    </row>
    <row r="236" spans="1:2" ht="15.75" customHeight="1" x14ac:dyDescent="0.5">
      <c r="A236" s="1"/>
      <c r="B236" s="1"/>
    </row>
    <row r="237" spans="1:2" ht="15.75" customHeight="1" x14ac:dyDescent="0.5">
      <c r="A237" s="1"/>
      <c r="B237" s="1"/>
    </row>
    <row r="238" spans="1:2" ht="15.75" customHeight="1" x14ac:dyDescent="0.5">
      <c r="A238" s="1"/>
      <c r="B238" s="1"/>
    </row>
    <row r="239" spans="1:2" ht="15.75" customHeight="1" x14ac:dyDescent="0.5">
      <c r="A239" s="1"/>
      <c r="B239" s="1"/>
    </row>
    <row r="240" spans="1:2" ht="15.75" customHeight="1" x14ac:dyDescent="0.5">
      <c r="A240" s="1"/>
      <c r="B240" s="1"/>
    </row>
    <row r="241" spans="1:2" ht="15.75" customHeight="1" x14ac:dyDescent="0.5">
      <c r="A241" s="1"/>
      <c r="B241" s="1"/>
    </row>
    <row r="242" spans="1:2" ht="15.75" customHeight="1" x14ac:dyDescent="0.5">
      <c r="A242" s="1"/>
      <c r="B242" s="1"/>
    </row>
    <row r="243" spans="1:2" ht="15.75" customHeight="1" x14ac:dyDescent="0.5">
      <c r="A243" s="1"/>
      <c r="B243" s="1"/>
    </row>
    <row r="244" spans="1:2" ht="15.75" customHeight="1" x14ac:dyDescent="0.5">
      <c r="A244" s="1"/>
      <c r="B244" s="1"/>
    </row>
    <row r="245" spans="1:2" ht="15.75" customHeight="1" x14ac:dyDescent="0.5">
      <c r="A245" s="1"/>
      <c r="B245" s="1"/>
    </row>
    <row r="246" spans="1:2" ht="15.75" customHeight="1" x14ac:dyDescent="0.5">
      <c r="A246" s="1"/>
      <c r="B246" s="1"/>
    </row>
    <row r="247" spans="1:2" ht="15.75" customHeight="1" x14ac:dyDescent="0.5">
      <c r="A247" s="1"/>
      <c r="B247" s="1"/>
    </row>
    <row r="248" spans="1:2" ht="15.75" customHeight="1" x14ac:dyDescent="0.5">
      <c r="A248" s="1"/>
      <c r="B248" s="1"/>
    </row>
    <row r="249" spans="1:2" ht="15.75" customHeight="1" x14ac:dyDescent="0.5">
      <c r="A249" s="1"/>
      <c r="B249" s="1"/>
    </row>
    <row r="250" spans="1:2" ht="15.75" customHeight="1" x14ac:dyDescent="0.5">
      <c r="A250" s="1"/>
      <c r="B250" s="1"/>
    </row>
    <row r="251" spans="1:2" ht="15.75" customHeight="1" x14ac:dyDescent="0.5">
      <c r="A251" s="1"/>
      <c r="B251" s="1"/>
    </row>
    <row r="252" spans="1:2" ht="15.75" customHeight="1" x14ac:dyDescent="0.5">
      <c r="A252" s="1"/>
      <c r="B252" s="1"/>
    </row>
    <row r="253" spans="1:2" ht="15.75" customHeight="1" x14ac:dyDescent="0.5">
      <c r="A253" s="1"/>
      <c r="B253" s="1"/>
    </row>
    <row r="254" spans="1:2" ht="15.75" customHeight="1" x14ac:dyDescent="0.5">
      <c r="A254" s="1"/>
      <c r="B254" s="1"/>
    </row>
    <row r="255" spans="1:2" ht="15.75" customHeight="1" x14ac:dyDescent="0.5">
      <c r="A255" s="1"/>
      <c r="B255" s="1"/>
    </row>
    <row r="256" spans="1:2" ht="15.75" customHeight="1" x14ac:dyDescent="0.5">
      <c r="A256" s="1"/>
      <c r="B256" s="1"/>
    </row>
    <row r="257" spans="1:2" ht="15.75" customHeight="1" x14ac:dyDescent="0.5">
      <c r="A257" s="1"/>
      <c r="B257" s="1"/>
    </row>
    <row r="258" spans="1:2" ht="15.75" customHeight="1" x14ac:dyDescent="0.5">
      <c r="A258" s="1"/>
      <c r="B258" s="1"/>
    </row>
    <row r="259" spans="1:2" ht="15.75" customHeight="1" x14ac:dyDescent="0.5">
      <c r="A259" s="1"/>
      <c r="B259" s="1"/>
    </row>
    <row r="260" spans="1:2" ht="15.75" customHeight="1" x14ac:dyDescent="0.5">
      <c r="A260" s="1"/>
      <c r="B260" s="1"/>
    </row>
    <row r="261" spans="1:2" ht="15.75" customHeight="1" x14ac:dyDescent="0.5">
      <c r="A261" s="1"/>
      <c r="B261" s="1"/>
    </row>
    <row r="262" spans="1:2" ht="15.75" customHeight="1" x14ac:dyDescent="0.5">
      <c r="A262" s="1"/>
      <c r="B262" s="1"/>
    </row>
    <row r="263" spans="1:2" ht="15.75" customHeight="1" x14ac:dyDescent="0.5">
      <c r="A263" s="1"/>
      <c r="B263" s="1"/>
    </row>
    <row r="264" spans="1:2" ht="15.75" customHeight="1" x14ac:dyDescent="0.5">
      <c r="A264" s="1"/>
      <c r="B264" s="1"/>
    </row>
    <row r="265" spans="1:2" ht="15.75" customHeight="1" x14ac:dyDescent="0.5">
      <c r="A265" s="1"/>
      <c r="B265" s="1"/>
    </row>
    <row r="266" spans="1:2" ht="15.75" customHeight="1" x14ac:dyDescent="0.5">
      <c r="A266" s="1"/>
      <c r="B266" s="1"/>
    </row>
    <row r="267" spans="1:2" ht="15.75" customHeight="1" x14ac:dyDescent="0.5">
      <c r="A267" s="1"/>
      <c r="B267" s="1"/>
    </row>
    <row r="268" spans="1:2" ht="15.75" customHeight="1" x14ac:dyDescent="0.5">
      <c r="A268" s="1"/>
      <c r="B268" s="1"/>
    </row>
    <row r="269" spans="1:2" ht="15.75" customHeight="1" x14ac:dyDescent="0.5">
      <c r="A269" s="1"/>
      <c r="B269" s="1"/>
    </row>
    <row r="270" spans="1:2" ht="15.75" customHeight="1" x14ac:dyDescent="0.5">
      <c r="A270" s="1"/>
      <c r="B270" s="1"/>
    </row>
    <row r="271" spans="1:2" ht="15.75" customHeight="1" x14ac:dyDescent="0.5">
      <c r="A271" s="1"/>
      <c r="B271" s="1"/>
    </row>
    <row r="272" spans="1:2" ht="15.75" customHeight="1" x14ac:dyDescent="0.5">
      <c r="A272" s="1"/>
      <c r="B272" s="1"/>
    </row>
    <row r="273" spans="1:2" ht="15.75" customHeight="1" x14ac:dyDescent="0.5">
      <c r="A273" s="1"/>
      <c r="B273" s="1"/>
    </row>
    <row r="274" spans="1:2" ht="15.75" customHeight="1" x14ac:dyDescent="0.5">
      <c r="A274" s="1"/>
      <c r="B274" s="1"/>
    </row>
    <row r="275" spans="1:2" ht="15.75" customHeight="1" x14ac:dyDescent="0.5">
      <c r="A275" s="1"/>
      <c r="B275" s="1"/>
    </row>
    <row r="276" spans="1:2" ht="15.75" customHeight="1" x14ac:dyDescent="0.5">
      <c r="A276" s="1"/>
      <c r="B276" s="1"/>
    </row>
    <row r="277" spans="1:2" ht="15.75" customHeight="1" x14ac:dyDescent="0.5">
      <c r="A277" s="1"/>
      <c r="B277" s="1"/>
    </row>
    <row r="278" spans="1:2" ht="15.75" customHeight="1" x14ac:dyDescent="0.5">
      <c r="A278" s="1"/>
      <c r="B278" s="1"/>
    </row>
    <row r="279" spans="1:2" ht="15.75" customHeight="1" x14ac:dyDescent="0.5">
      <c r="A279" s="1"/>
      <c r="B279" s="1"/>
    </row>
    <row r="280" spans="1:2" ht="15.75" customHeight="1" x14ac:dyDescent="0.5">
      <c r="A280" s="1"/>
      <c r="B280" s="1"/>
    </row>
    <row r="281" spans="1:2" ht="15.75" customHeight="1" x14ac:dyDescent="0.5">
      <c r="A281" s="1"/>
      <c r="B281" s="1"/>
    </row>
    <row r="282" spans="1:2" ht="15.75" customHeight="1" x14ac:dyDescent="0.5">
      <c r="A282" s="1"/>
      <c r="B282" s="1"/>
    </row>
    <row r="283" spans="1:2" ht="15.75" customHeight="1" x14ac:dyDescent="0.5">
      <c r="A283" s="1"/>
      <c r="B283" s="1"/>
    </row>
    <row r="284" spans="1:2" ht="15.75" customHeight="1" x14ac:dyDescent="0.5">
      <c r="A284" s="1"/>
      <c r="B284" s="1"/>
    </row>
    <row r="285" spans="1:2" ht="15.75" customHeight="1" x14ac:dyDescent="0.5">
      <c r="A285" s="1"/>
      <c r="B285" s="1"/>
    </row>
    <row r="286" spans="1:2" ht="15.75" customHeight="1" x14ac:dyDescent="0.5">
      <c r="A286" s="1"/>
      <c r="B286" s="1"/>
    </row>
    <row r="287" spans="1:2" ht="15.75" customHeight="1" x14ac:dyDescent="0.5">
      <c r="A287" s="1"/>
      <c r="B287" s="1"/>
    </row>
    <row r="288" spans="1:2" ht="15.75" customHeight="1" x14ac:dyDescent="0.5">
      <c r="A288" s="1"/>
      <c r="B288" s="1"/>
    </row>
    <row r="289" spans="1:2" ht="15.75" customHeight="1" x14ac:dyDescent="0.5">
      <c r="A289" s="1"/>
      <c r="B289" s="1"/>
    </row>
    <row r="290" spans="1:2" ht="15.75" customHeight="1" x14ac:dyDescent="0.5">
      <c r="A290" s="1"/>
      <c r="B290" s="1"/>
    </row>
    <row r="291" spans="1:2" ht="15.75" customHeight="1" x14ac:dyDescent="0.5">
      <c r="A291" s="1"/>
      <c r="B291" s="1"/>
    </row>
    <row r="292" spans="1:2" ht="15.75" customHeight="1" x14ac:dyDescent="0.5">
      <c r="A292" s="1"/>
      <c r="B292" s="1"/>
    </row>
    <row r="293" spans="1:2" ht="15.75" customHeight="1" x14ac:dyDescent="0.5">
      <c r="A293" s="1"/>
      <c r="B293" s="1"/>
    </row>
    <row r="294" spans="1:2" ht="15.75" customHeight="1" x14ac:dyDescent="0.5">
      <c r="A294" s="1"/>
      <c r="B294" s="1"/>
    </row>
    <row r="295" spans="1:2" ht="15.75" customHeight="1" x14ac:dyDescent="0.5">
      <c r="A295" s="1"/>
      <c r="B295" s="1"/>
    </row>
    <row r="296" spans="1:2" ht="15.75" customHeight="1" x14ac:dyDescent="0.5">
      <c r="A296" s="1"/>
      <c r="B296" s="1"/>
    </row>
    <row r="297" spans="1:2" ht="15.75" customHeight="1" x14ac:dyDescent="0.5">
      <c r="A297" s="1"/>
      <c r="B297" s="1"/>
    </row>
    <row r="298" spans="1:2" ht="15.75" customHeight="1" x14ac:dyDescent="0.5">
      <c r="A298" s="1"/>
      <c r="B298" s="1"/>
    </row>
    <row r="299" spans="1:2" ht="15.75" customHeight="1" x14ac:dyDescent="0.5">
      <c r="A299" s="1"/>
      <c r="B299" s="1"/>
    </row>
    <row r="300" spans="1:2" ht="15.75" customHeight="1" x14ac:dyDescent="0.5">
      <c r="A300" s="1"/>
      <c r="B300" s="1"/>
    </row>
    <row r="301" spans="1:2" ht="15.75" customHeight="1" x14ac:dyDescent="0.5">
      <c r="A301" s="1"/>
      <c r="B301" s="1"/>
    </row>
    <row r="302" spans="1:2" ht="15.75" customHeight="1" x14ac:dyDescent="0.5">
      <c r="A302" s="1"/>
      <c r="B302" s="1"/>
    </row>
    <row r="303" spans="1:2" ht="15.75" customHeight="1" x14ac:dyDescent="0.5">
      <c r="A303" s="1"/>
      <c r="B303" s="1"/>
    </row>
    <row r="304" spans="1:2" ht="15.75" customHeight="1" x14ac:dyDescent="0.5">
      <c r="A304" s="1"/>
      <c r="B304" s="1"/>
    </row>
    <row r="305" spans="1:2" ht="15.75" customHeight="1" x14ac:dyDescent="0.5">
      <c r="A305" s="1"/>
      <c r="B305" s="1"/>
    </row>
    <row r="306" spans="1:2" ht="15.75" customHeight="1" x14ac:dyDescent="0.5">
      <c r="A306" s="1"/>
      <c r="B306" s="1"/>
    </row>
    <row r="307" spans="1:2" ht="15.75" customHeight="1" x14ac:dyDescent="0.5">
      <c r="A307" s="1"/>
      <c r="B307" s="1"/>
    </row>
    <row r="308" spans="1:2" ht="15.75" customHeight="1" x14ac:dyDescent="0.5">
      <c r="A308" s="1"/>
      <c r="B308" s="1"/>
    </row>
    <row r="309" spans="1:2" ht="15.75" customHeight="1" x14ac:dyDescent="0.5">
      <c r="A309" s="1"/>
      <c r="B309" s="1"/>
    </row>
    <row r="310" spans="1:2" ht="15.75" customHeight="1" x14ac:dyDescent="0.5">
      <c r="A310" s="1"/>
      <c r="B310" s="1"/>
    </row>
    <row r="311" spans="1:2" ht="15.75" customHeight="1" x14ac:dyDescent="0.5">
      <c r="A311" s="1"/>
      <c r="B311" s="1"/>
    </row>
    <row r="312" spans="1:2" ht="15.75" customHeight="1" x14ac:dyDescent="0.5">
      <c r="A312" s="1"/>
      <c r="B312" s="1"/>
    </row>
    <row r="313" spans="1:2" ht="15.75" customHeight="1" x14ac:dyDescent="0.5">
      <c r="A313" s="1"/>
      <c r="B313" s="1"/>
    </row>
    <row r="314" spans="1:2" ht="15.75" customHeight="1" x14ac:dyDescent="0.5">
      <c r="A314" s="1"/>
      <c r="B314" s="1"/>
    </row>
    <row r="315" spans="1:2" ht="15.75" customHeight="1" x14ac:dyDescent="0.5">
      <c r="A315" s="1"/>
      <c r="B315" s="1"/>
    </row>
    <row r="316" spans="1:2" ht="15.75" customHeight="1" x14ac:dyDescent="0.5">
      <c r="A316" s="1"/>
      <c r="B316" s="1"/>
    </row>
    <row r="317" spans="1:2" ht="15.75" customHeight="1" x14ac:dyDescent="0.5">
      <c r="A317" s="1"/>
      <c r="B317" s="1"/>
    </row>
    <row r="318" spans="1:2" ht="15.75" customHeight="1" x14ac:dyDescent="0.5">
      <c r="A318" s="1"/>
      <c r="B318" s="1"/>
    </row>
    <row r="319" spans="1:2" ht="15.75" customHeight="1" x14ac:dyDescent="0.5">
      <c r="A319" s="1"/>
      <c r="B319" s="1"/>
    </row>
    <row r="320" spans="1:2" ht="15.75" customHeight="1" x14ac:dyDescent="0.5">
      <c r="A320" s="1"/>
      <c r="B320" s="1"/>
    </row>
    <row r="321" spans="1:2" ht="15.75" customHeight="1" x14ac:dyDescent="0.5">
      <c r="A321" s="1"/>
      <c r="B321" s="1"/>
    </row>
    <row r="322" spans="1:2" ht="15.75" customHeight="1" x14ac:dyDescent="0.5">
      <c r="A322" s="1"/>
      <c r="B322" s="1"/>
    </row>
    <row r="323" spans="1:2" ht="15.75" customHeight="1" x14ac:dyDescent="0.5">
      <c r="A323" s="1"/>
      <c r="B323" s="1"/>
    </row>
    <row r="324" spans="1:2" ht="15.75" customHeight="1" x14ac:dyDescent="0.5">
      <c r="A324" s="1"/>
      <c r="B324" s="1"/>
    </row>
    <row r="325" spans="1:2" ht="15.75" customHeight="1" x14ac:dyDescent="0.5">
      <c r="A325" s="1"/>
      <c r="B325" s="1"/>
    </row>
    <row r="326" spans="1:2" ht="15.75" customHeight="1" x14ac:dyDescent="0.5">
      <c r="A326" s="1"/>
      <c r="B326" s="1"/>
    </row>
    <row r="327" spans="1:2" ht="15.75" customHeight="1" x14ac:dyDescent="0.5">
      <c r="A327" s="1"/>
      <c r="B327" s="1"/>
    </row>
    <row r="328" spans="1:2" ht="15.75" customHeight="1" x14ac:dyDescent="0.5">
      <c r="A328" s="1"/>
      <c r="B328" s="1"/>
    </row>
    <row r="329" spans="1:2" ht="15.75" customHeight="1" x14ac:dyDescent="0.5">
      <c r="A329" s="1"/>
      <c r="B329" s="1"/>
    </row>
    <row r="330" spans="1:2" ht="15.75" customHeight="1" x14ac:dyDescent="0.5">
      <c r="A330" s="1"/>
      <c r="B330" s="1"/>
    </row>
    <row r="331" spans="1:2" ht="15.75" customHeight="1" x14ac:dyDescent="0.5"/>
    <row r="332" spans="1:2" ht="15.75" customHeight="1" x14ac:dyDescent="0.5"/>
    <row r="333" spans="1:2" ht="15.75" customHeight="1" x14ac:dyDescent="0.5"/>
    <row r="334" spans="1:2" ht="15.75" customHeight="1" x14ac:dyDescent="0.5"/>
    <row r="335" spans="1:2" ht="15.75" customHeight="1" x14ac:dyDescent="0.5"/>
    <row r="336" spans="1:2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</sheetData>
  <autoFilter ref="D3:W30">
    <sortState ref="D6:V30">
      <sortCondition descending="1" ref="E3:E30"/>
    </sortState>
  </autoFilter>
  <customSheetViews>
    <customSheetView guid="{0406206E-64B0-4BE7-B1B3-1E8F4E3B398B}" scale="30" fitToPage="1" showAutoFilter="1" hiddenColumns="1">
      <pane ySplit="4" topLeftCell="A5" activePane="bottomLeft" state="frozen"/>
      <selection pane="bottomLeft" activeCell="W8" sqref="W8"/>
      <pageMargins left="0.7" right="0.7" top="0.75" bottom="0.75" header="0" footer="0"/>
      <pageSetup paperSize="8" scale="16" orientation="landscape" r:id="rId1"/>
      <autoFilter ref="D3:W30">
        <sortState ref="D6:V30">
          <sortCondition descending="1" ref="E3:E30"/>
        </sortState>
      </autoFilter>
    </customSheetView>
    <customSheetView guid="{6281A774-6AE3-4E98-B0F7-810B299D3A2D}" scale="30" fitToPage="1" showAutoFilter="1" hiddenColumns="1">
      <pane ySplit="4" topLeftCell="A5" activePane="bottomLeft" state="frozen"/>
      <selection pane="bottomLeft" activeCell="U6" sqref="U6"/>
      <pageMargins left="0.7" right="0.7" top="0.75" bottom="0.75" header="0" footer="0"/>
      <pageSetup paperSize="8" scale="16" orientation="landscape" r:id="rId2"/>
      <autoFilter ref="D3:W30">
        <sortState ref="D6:V30">
          <sortCondition descending="1" ref="E3:E30"/>
        </sortState>
      </autoFilter>
    </customSheetView>
    <customSheetView guid="{31198A97-3BA0-4999-82A2-8971EA039CF7}" scale="30" fitToPage="1" showAutoFilter="1" hiddenColumns="1">
      <pane ySplit="4" topLeftCell="A14" activePane="bottomLeft" state="frozen"/>
      <selection pane="bottomLeft" activeCell="R29" sqref="R29"/>
      <pageMargins left="0.7" right="0.7" top="0.75" bottom="0.75" header="0" footer="0"/>
      <pageSetup paperSize="8" scale="16" orientation="landscape" r:id="rId3"/>
      <autoFilter ref="D3:W30">
        <sortState ref="D6:V30">
          <sortCondition descending="1" ref="E3:E30"/>
        </sortState>
      </autoFilter>
    </customSheetView>
  </customSheetViews>
  <mergeCells count="2">
    <mergeCell ref="C3:C4"/>
    <mergeCell ref="D3:D4"/>
  </mergeCells>
  <pageMargins left="0.7" right="0.7" top="0.75" bottom="0.75" header="0" footer="0"/>
  <pageSetup paperSize="8" scale="16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N904"/>
  <sheetViews>
    <sheetView view="pageBreakPreview" zoomScale="60" zoomScaleNormal="60" workbookViewId="0">
      <pane xSplit="3" ySplit="1" topLeftCell="I93" activePane="bottomRight" state="frozen"/>
      <selection pane="topRight" activeCell="D1" sqref="D1"/>
      <selection pane="bottomLeft" activeCell="A2" sqref="A2"/>
      <selection pane="bottomRight" activeCell="AB98" sqref="AB98"/>
    </sheetView>
  </sheetViews>
  <sheetFormatPr defaultColWidth="12.5703125" defaultRowHeight="15" customHeight="1" x14ac:dyDescent="0.3"/>
  <cols>
    <col min="1" max="1" width="5.5703125" customWidth="1"/>
    <col min="2" max="2" width="51.5703125" style="16" customWidth="1"/>
    <col min="3" max="3" width="20.140625" style="16" hidden="1" customWidth="1"/>
    <col min="4" max="4" width="22.7109375" style="194" customWidth="1"/>
    <col min="5" max="5" width="9.5703125" style="194" hidden="1" customWidth="1"/>
    <col min="6" max="6" width="21" style="194" customWidth="1"/>
    <col min="7" max="7" width="10.7109375" style="205" customWidth="1"/>
    <col min="8" max="8" width="21.28515625" style="194" customWidth="1"/>
    <col min="9" max="9" width="11.28515625" style="205" customWidth="1"/>
    <col min="10" max="11" width="21" style="205" customWidth="1"/>
    <col min="12" max="12" width="11.5703125" style="205" customWidth="1"/>
    <col min="13" max="13" width="24" style="205" customWidth="1"/>
    <col min="14" max="14" width="11.42578125" style="205" customWidth="1"/>
    <col min="15" max="15" width="21.42578125" style="194" customWidth="1"/>
    <col min="16" max="16" width="9.28515625" style="205" customWidth="1"/>
    <col min="17" max="17" width="21" style="194" customWidth="1"/>
    <col min="18" max="18" width="21.140625" style="194" customWidth="1"/>
    <col min="19" max="19" width="24.140625" style="205" hidden="1" customWidth="1"/>
    <col min="20" max="20" width="20.85546875" style="193" customWidth="1"/>
    <col min="21" max="21" width="19" style="193" customWidth="1"/>
    <col min="22" max="22" width="21.140625" style="193" customWidth="1"/>
    <col min="23" max="23" width="20.140625" style="193" hidden="1" customWidth="1"/>
    <col min="24" max="24" width="19" style="194" customWidth="1"/>
    <col min="25" max="25" width="19.28515625" style="194" customWidth="1"/>
    <col min="26" max="26" width="21" style="194" customWidth="1"/>
    <col min="27" max="27" width="24.140625" style="194" hidden="1" customWidth="1"/>
    <col min="28" max="28" width="21.140625" style="194" customWidth="1"/>
    <col min="29" max="29" width="20.7109375" style="194" customWidth="1"/>
    <col min="30" max="30" width="20.85546875" style="207" customWidth="1"/>
    <col min="31" max="31" width="21" style="207" customWidth="1"/>
    <col min="32" max="32" width="21.7109375" style="208" customWidth="1"/>
    <col min="33" max="33" width="21.140625" style="208" customWidth="1"/>
    <col min="34" max="34" width="10.140625" style="244" customWidth="1"/>
    <col min="35" max="35" width="13.85546875" style="205" customWidth="1"/>
    <col min="36" max="36" width="9.42578125" style="205" customWidth="1"/>
    <col min="37" max="37" width="17.28515625" style="205" customWidth="1"/>
    <col min="38" max="39" width="16.85546875" style="205" customWidth="1"/>
    <col min="40" max="40" width="19.42578125" style="72" customWidth="1"/>
  </cols>
  <sheetData>
    <row r="1" spans="1:40" ht="81.75" customHeight="1" x14ac:dyDescent="0.25">
      <c r="A1" s="69" t="s">
        <v>253</v>
      </c>
      <c r="B1" s="75"/>
      <c r="C1" s="69" t="s">
        <v>3</v>
      </c>
      <c r="D1" s="127" t="s">
        <v>11</v>
      </c>
      <c r="E1" s="128" t="s">
        <v>10</v>
      </c>
      <c r="F1" s="129" t="s">
        <v>7</v>
      </c>
      <c r="G1" s="130" t="s">
        <v>234</v>
      </c>
      <c r="H1" s="131" t="s">
        <v>8</v>
      </c>
      <c r="I1" s="131" t="s">
        <v>295</v>
      </c>
      <c r="J1" s="131" t="s">
        <v>6</v>
      </c>
      <c r="K1" s="131" t="s">
        <v>297</v>
      </c>
      <c r="L1" s="131" t="s">
        <v>296</v>
      </c>
      <c r="M1" s="131" t="s">
        <v>239</v>
      </c>
      <c r="N1" s="131" t="s">
        <v>0</v>
      </c>
      <c r="O1" s="131" t="s">
        <v>1</v>
      </c>
      <c r="P1" s="131" t="s">
        <v>294</v>
      </c>
      <c r="Q1" s="128" t="s">
        <v>4</v>
      </c>
      <c r="R1" s="128" t="s">
        <v>5</v>
      </c>
      <c r="S1" s="132" t="s">
        <v>12</v>
      </c>
      <c r="T1" s="128" t="s">
        <v>298</v>
      </c>
      <c r="U1" s="128" t="s">
        <v>278</v>
      </c>
      <c r="V1" s="128" t="s">
        <v>299</v>
      </c>
      <c r="W1" s="128" t="s">
        <v>254</v>
      </c>
      <c r="X1" s="133" t="s">
        <v>251</v>
      </c>
      <c r="Y1" s="128" t="s">
        <v>255</v>
      </c>
      <c r="Z1" s="128" t="s">
        <v>252</v>
      </c>
      <c r="AA1" s="128" t="s">
        <v>13</v>
      </c>
      <c r="AB1" s="128" t="s">
        <v>275</v>
      </c>
      <c r="AC1" s="128" t="s">
        <v>300</v>
      </c>
      <c r="AD1" s="134" t="s">
        <v>276</v>
      </c>
      <c r="AE1" s="134" t="s">
        <v>301</v>
      </c>
      <c r="AF1" s="134" t="s">
        <v>277</v>
      </c>
      <c r="AG1" s="134" t="s">
        <v>292</v>
      </c>
      <c r="AH1" s="209" t="s">
        <v>244</v>
      </c>
      <c r="AI1" s="132" t="s">
        <v>257</v>
      </c>
      <c r="AJ1" s="132" t="s">
        <v>258</v>
      </c>
      <c r="AK1" s="132" t="s">
        <v>243</v>
      </c>
      <c r="AL1" s="132" t="s">
        <v>245</v>
      </c>
      <c r="AM1" s="132" t="s">
        <v>242</v>
      </c>
    </row>
    <row r="2" spans="1:40" ht="75.75" customHeight="1" x14ac:dyDescent="0.35">
      <c r="A2" s="69"/>
      <c r="B2" s="66" t="s">
        <v>256</v>
      </c>
      <c r="C2" s="69"/>
      <c r="D2" s="127">
        <f>D4+D19+D27+D34+D37+D41+D49+D59+D66+D75+D80+D88+D91+D93+D95+D97+D99+D102+D105+D111+D115+D117+D119+D121+D124+D127</f>
        <v>240374029.18892995</v>
      </c>
      <c r="E2" s="128"/>
      <c r="F2" s="127">
        <f>F4+F19+F27+F34+F37+F41+F49+F59+F66+F75+F80+F88+F91+F93+F95+F97+F99+F102+F105+F111+F115+F117+F119+F121+F124+F127</f>
        <v>92388049.585640013</v>
      </c>
      <c r="G2" s="135">
        <f>F2/D2</f>
        <v>0.38435121255559834</v>
      </c>
      <c r="H2" s="127">
        <f>H4+H19+H27+H34+H37+H41+H49+H59+H66+H75+H80+H88+H91+H93+H95+H97+H99+H102+H105+H111+H115+H117+H119+H121+H124+H127</f>
        <v>74815351.59901996</v>
      </c>
      <c r="I2" s="136">
        <f>H2/F2</f>
        <v>0.80979468594224546</v>
      </c>
      <c r="J2" s="127">
        <f>J4+J19+J27+J34+J37+J41+J49+J59+J66+J75+J80+J88+J91+J93+J95+J97+J99+J102+J105+J111+J115+J117+J119+J121+J124+J127</f>
        <v>27202711.255529996</v>
      </c>
      <c r="K2" s="127">
        <f>K4+K19+K27+K34+K37+K41+K49+K59+K66+K75+K80+K88+K91+K93+K95+K97+K99+K102+K105+K111+K115+K117+K119+K121+K124+K127</f>
        <v>44775171.878329992</v>
      </c>
      <c r="L2" s="135">
        <f>K2/H2</f>
        <v>0.5984757261892828</v>
      </c>
      <c r="M2" s="137">
        <f>M4+M19+M27+M34+M37+M41+M49+M59+M66+M75+M80+M88+M91+M93+M95+M97+M99+M102+M105+M111+M115+M117+M119+M121+M124+M127</f>
        <v>117902493.59236997</v>
      </c>
      <c r="N2" s="136">
        <f>M2/D2</f>
        <v>0.49049597408753587</v>
      </c>
      <c r="O2" s="127">
        <f>O4+O19+O27+O34+O37+O41+O49+O59+O66+O75+O80+O88+O91+O93+O95+O97+O99+O102+O105+O111+O115+O117+O119+O121+O124+O127</f>
        <v>73314369.142159998</v>
      </c>
      <c r="P2" s="136">
        <f>O2/D2</f>
        <v>0.30500120744964565</v>
      </c>
      <c r="Q2" s="127">
        <f t="shared" ref="Q2:AG2" si="0">Q4+Q19+Q27+Q34+Q37+Q41+Q49+Q59+Q66+Q75+Q80+Q88+Q91+Q93+Q95+Q97+Q99+Q102+Q105+Q111+Q115+Q117+Q119+Q121+Q124+Q127</f>
        <v>23095411.166430004</v>
      </c>
      <c r="R2" s="127">
        <f t="shared" si="0"/>
        <v>35539294.925450005</v>
      </c>
      <c r="S2" s="137">
        <f t="shared" si="0"/>
        <v>17919909.911520001</v>
      </c>
      <c r="T2" s="127">
        <f t="shared" si="0"/>
        <v>36142150.670000002</v>
      </c>
      <c r="U2" s="127">
        <f t="shared" si="0"/>
        <v>1838877.07999</v>
      </c>
      <c r="V2" s="127">
        <f t="shared" si="0"/>
        <v>28104576.481410719</v>
      </c>
      <c r="W2" s="127">
        <f t="shared" si="0"/>
        <v>4608000</v>
      </c>
      <c r="X2" s="127">
        <f t="shared" si="0"/>
        <v>8077446.244760002</v>
      </c>
      <c r="Y2" s="127">
        <f t="shared" si="0"/>
        <v>6926708.8887399994</v>
      </c>
      <c r="Z2" s="127">
        <f t="shared" si="0"/>
        <v>20027130.23665072</v>
      </c>
      <c r="AA2" s="127">
        <f t="shared" si="0"/>
        <v>25312808.160399999</v>
      </c>
      <c r="AB2" s="127">
        <f t="shared" si="0"/>
        <v>28449402.831819996</v>
      </c>
      <c r="AC2" s="127">
        <f t="shared" si="0"/>
        <v>39462592.991999991</v>
      </c>
      <c r="AD2" s="127">
        <f t="shared" si="0"/>
        <v>28265879.708549999</v>
      </c>
      <c r="AE2" s="127">
        <f t="shared" si="0"/>
        <v>45981061.548999995</v>
      </c>
      <c r="AF2" s="127">
        <f t="shared" si="0"/>
        <v>46585192.437230006</v>
      </c>
      <c r="AG2" s="127">
        <f t="shared" si="0"/>
        <v>65537536.373999998</v>
      </c>
      <c r="AH2" s="209"/>
      <c r="AI2" s="210"/>
      <c r="AJ2" s="211"/>
      <c r="AK2" s="132"/>
      <c r="AL2" s="132"/>
      <c r="AM2" s="132"/>
    </row>
    <row r="3" spans="1:40" s="54" customFormat="1" ht="14.25" customHeight="1" x14ac:dyDescent="0.3">
      <c r="A3" s="71"/>
      <c r="B3" s="70"/>
      <c r="C3" s="71"/>
      <c r="D3" s="138"/>
      <c r="E3" s="139"/>
      <c r="F3" s="140"/>
      <c r="G3" s="141"/>
      <c r="H3" s="139"/>
      <c r="I3" s="142"/>
      <c r="J3" s="139"/>
      <c r="K3" s="139"/>
      <c r="L3" s="142"/>
      <c r="M3" s="142"/>
      <c r="N3" s="143"/>
      <c r="O3" s="139"/>
      <c r="P3" s="142"/>
      <c r="Q3" s="139"/>
      <c r="R3" s="139"/>
      <c r="S3" s="142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44"/>
      <c r="AE3" s="144"/>
      <c r="AF3" s="144"/>
      <c r="AG3" s="144"/>
      <c r="AH3" s="142"/>
      <c r="AI3" s="212"/>
      <c r="AJ3" s="212"/>
      <c r="AK3" s="142"/>
      <c r="AL3" s="142"/>
      <c r="AM3" s="142"/>
      <c r="AN3" s="73"/>
    </row>
    <row r="4" spans="1:40" ht="73.5" customHeight="1" x14ac:dyDescent="0.3">
      <c r="A4" s="66"/>
      <c r="B4" s="66" t="s">
        <v>14</v>
      </c>
      <c r="C4" s="61"/>
      <c r="D4" s="145">
        <f>SUM(D5:D18)</f>
        <v>61044205.173910007</v>
      </c>
      <c r="E4" s="146"/>
      <c r="F4" s="145">
        <f>SUM(F5:F18)</f>
        <v>29414196.368779995</v>
      </c>
      <c r="G4" s="135">
        <f t="shared" ref="G4:G13" si="1">F4/D4</f>
        <v>0.48185075528432758</v>
      </c>
      <c r="H4" s="145">
        <f>SUM(H5:H18)</f>
        <v>26798060.385879993</v>
      </c>
      <c r="I4" s="136">
        <f t="shared" ref="I4:I12" si="2">H4/F4</f>
        <v>0.91105872993774029</v>
      </c>
      <c r="J4" s="145">
        <f>SUM(J5:J18)</f>
        <v>7986047.2638600003</v>
      </c>
      <c r="K4" s="145">
        <f>SUM(K5:K18)</f>
        <v>15244604.484999998</v>
      </c>
      <c r="L4" s="135">
        <f>K4/H4</f>
        <v>0.56886969674239718</v>
      </c>
      <c r="M4" s="145">
        <f>SUM(M5:M18)</f>
        <v>37836048.352169998</v>
      </c>
      <c r="N4" s="136">
        <f t="shared" ref="N4:N11" si="3">M4/D4</f>
        <v>0.61981392409612268</v>
      </c>
      <c r="O4" s="145">
        <f>SUM(O5:O18)</f>
        <v>22591443.86468</v>
      </c>
      <c r="P4" s="136">
        <f t="shared" ref="P4:P11" si="4">O4/D4</f>
        <v>0.37008334862119674</v>
      </c>
      <c r="Q4" s="145">
        <f>SUM(Q5:Q18)</f>
        <v>4116915.7149999999</v>
      </c>
      <c r="R4" s="145">
        <f>SUM(R5:R18)</f>
        <v>9308624.8310000002</v>
      </c>
      <c r="S4" s="147">
        <f>SUM(S12:S18)</f>
        <v>1767022.6270699999</v>
      </c>
      <c r="T4" s="145">
        <f>SUM(T5:T18)</f>
        <v>6978460.9719999982</v>
      </c>
      <c r="U4" s="145">
        <f>SUM(U5:U18)</f>
        <v>222139.46498999998</v>
      </c>
      <c r="V4" s="145">
        <f t="shared" ref="V4:Z4" si="5">SUM(V5:V18)</f>
        <v>5655417.62861</v>
      </c>
      <c r="W4" s="145">
        <f t="shared" si="5"/>
        <v>1631000</v>
      </c>
      <c r="X4" s="145">
        <f t="shared" si="5"/>
        <v>0</v>
      </c>
      <c r="Y4" s="145">
        <f t="shared" si="5"/>
        <v>0</v>
      </c>
      <c r="Z4" s="145">
        <f t="shared" si="5"/>
        <v>5655417.62861</v>
      </c>
      <c r="AA4" s="145">
        <f>SUM(AA12:AA18)</f>
        <v>4026813.5881600003</v>
      </c>
      <c r="AB4" s="145">
        <f t="shared" ref="AB4:AG4" si="6">SUM(AB5:AB18)</f>
        <v>5016070.6114699999</v>
      </c>
      <c r="AC4" s="145">
        <f t="shared" si="6"/>
        <v>7789056.0189999994</v>
      </c>
      <c r="AD4" s="145">
        <f t="shared" si="6"/>
        <v>9865694.5508200005</v>
      </c>
      <c r="AE4" s="145">
        <f t="shared" si="6"/>
        <v>13405777.473999999</v>
      </c>
      <c r="AF4" s="145">
        <f t="shared" si="6"/>
        <v>2670974.02887</v>
      </c>
      <c r="AG4" s="145">
        <f t="shared" si="6"/>
        <v>7190395.9239999996</v>
      </c>
      <c r="AH4" s="213"/>
      <c r="AI4" s="213"/>
      <c r="AJ4" s="213"/>
      <c r="AK4" s="213"/>
      <c r="AL4" s="213"/>
      <c r="AM4" s="213"/>
    </row>
    <row r="5" spans="1:40" ht="116.25" x14ac:dyDescent="0.25">
      <c r="A5" s="117" t="s">
        <v>261</v>
      </c>
      <c r="B5" s="117" t="s">
        <v>25</v>
      </c>
      <c r="C5" s="99">
        <v>46289</v>
      </c>
      <c r="D5" s="148">
        <v>2197700.227</v>
      </c>
      <c r="E5" s="149" t="s">
        <v>22</v>
      </c>
      <c r="F5" s="148">
        <v>697849.42599999998</v>
      </c>
      <c r="G5" s="150">
        <f t="shared" si="1"/>
        <v>0.3175362214675696</v>
      </c>
      <c r="H5" s="148">
        <v>692477.59900000005</v>
      </c>
      <c r="I5" s="151">
        <f t="shared" si="2"/>
        <v>0.9923023122182808</v>
      </c>
      <c r="J5" s="152">
        <v>0</v>
      </c>
      <c r="K5" s="152">
        <v>651260.96699999995</v>
      </c>
      <c r="L5" s="150">
        <f t="shared" ref="L5:L24" si="7">K5/H5</f>
        <v>0.94047947246305064</v>
      </c>
      <c r="M5" s="148">
        <v>777894.38252999994</v>
      </c>
      <c r="N5" s="151">
        <f t="shared" si="3"/>
        <v>0.35395836655660495</v>
      </c>
      <c r="O5" s="152">
        <v>126633.41499999999</v>
      </c>
      <c r="P5" s="151">
        <f t="shared" si="4"/>
        <v>5.7620877244419555E-2</v>
      </c>
      <c r="Q5" s="152">
        <v>126633.414</v>
      </c>
      <c r="R5" s="152">
        <v>85416.782999999996</v>
      </c>
      <c r="S5" s="153">
        <v>98000</v>
      </c>
      <c r="T5" s="152">
        <v>253000</v>
      </c>
      <c r="U5" s="152"/>
      <c r="V5" s="152">
        <v>250000</v>
      </c>
      <c r="W5" s="152"/>
      <c r="X5" s="152"/>
      <c r="Y5" s="152"/>
      <c r="Z5" s="152">
        <f t="shared" ref="Z5:Z18" si="8">V5-X5</f>
        <v>250000</v>
      </c>
      <c r="AA5" s="152">
        <v>1252805.8435200001</v>
      </c>
      <c r="AB5" s="152">
        <v>250000</v>
      </c>
      <c r="AC5" s="152">
        <v>280000</v>
      </c>
      <c r="AD5" s="152">
        <v>919805.84351999999</v>
      </c>
      <c r="AE5" s="152">
        <v>1467255.3659999999</v>
      </c>
      <c r="AF5" s="152"/>
      <c r="AG5" s="152">
        <v>67000</v>
      </c>
      <c r="AH5" s="214">
        <v>0.01</v>
      </c>
      <c r="AI5" s="215">
        <v>1</v>
      </c>
      <c r="AJ5" s="215" t="s">
        <v>259</v>
      </c>
      <c r="AK5" s="216">
        <v>47114</v>
      </c>
      <c r="AL5" s="216">
        <v>46557</v>
      </c>
      <c r="AM5" s="216">
        <v>46783</v>
      </c>
      <c r="AN5" s="74">
        <f t="shared" ref="AN5:AN36" si="9">D5-M5-Z5-AB5-AD5-AF5</f>
        <v>9.4999989960342646E-4</v>
      </c>
    </row>
    <row r="6" spans="1:40" ht="43.5" customHeight="1" x14ac:dyDescent="0.25">
      <c r="A6" s="98" t="s">
        <v>262</v>
      </c>
      <c r="B6" s="118" t="s">
        <v>42</v>
      </c>
      <c r="C6" s="100" t="s">
        <v>43</v>
      </c>
      <c r="D6" s="148">
        <v>1704671.4509999999</v>
      </c>
      <c r="E6" s="152" t="s">
        <v>17</v>
      </c>
      <c r="F6" s="148">
        <v>852335.72499999998</v>
      </c>
      <c r="G6" s="150">
        <f t="shared" si="1"/>
        <v>0.49999999970668835</v>
      </c>
      <c r="H6" s="148">
        <v>569565.68099999998</v>
      </c>
      <c r="I6" s="151">
        <f t="shared" si="2"/>
        <v>0.66824100444692724</v>
      </c>
      <c r="J6" s="152">
        <v>569565.68099999998</v>
      </c>
      <c r="K6" s="152">
        <v>569565.68099999998</v>
      </c>
      <c r="L6" s="150">
        <f t="shared" si="7"/>
        <v>1</v>
      </c>
      <c r="M6" s="148">
        <v>569565.68114</v>
      </c>
      <c r="N6" s="151">
        <f t="shared" si="3"/>
        <v>0.33412050210958805</v>
      </c>
      <c r="O6" s="152">
        <v>0</v>
      </c>
      <c r="P6" s="151">
        <f t="shared" si="4"/>
        <v>0</v>
      </c>
      <c r="Q6" s="152">
        <v>0</v>
      </c>
      <c r="R6" s="152">
        <v>569565.68099999998</v>
      </c>
      <c r="S6" s="153">
        <v>1153563.8281700001</v>
      </c>
      <c r="T6" s="152">
        <v>1154172.7039999999</v>
      </c>
      <c r="U6" s="152"/>
      <c r="V6" s="152">
        <v>1135105.7700100001</v>
      </c>
      <c r="W6" s="152"/>
      <c r="X6" s="152"/>
      <c r="Y6" s="152"/>
      <c r="Z6" s="152">
        <f t="shared" si="8"/>
        <v>1135105.7700100001</v>
      </c>
      <c r="AA6" s="152">
        <v>0</v>
      </c>
      <c r="AB6" s="152"/>
      <c r="AC6" s="152">
        <v>204000</v>
      </c>
      <c r="AD6" s="152"/>
      <c r="AE6" s="152"/>
      <c r="AF6" s="152"/>
      <c r="AG6" s="152"/>
      <c r="AH6" s="214">
        <v>0.4</v>
      </c>
      <c r="AI6" s="215">
        <v>1</v>
      </c>
      <c r="AJ6" s="215" t="s">
        <v>259</v>
      </c>
      <c r="AK6" s="216">
        <v>46752</v>
      </c>
      <c r="AL6" s="216">
        <v>46356</v>
      </c>
      <c r="AM6" s="216">
        <v>46405</v>
      </c>
      <c r="AN6" s="74">
        <f t="shared" si="9"/>
        <v>-1.5000021085143089E-4</v>
      </c>
    </row>
    <row r="7" spans="1:40" ht="45" x14ac:dyDescent="0.25">
      <c r="A7" s="98" t="s">
        <v>263</v>
      </c>
      <c r="B7" s="118" t="s">
        <v>40</v>
      </c>
      <c r="C7" s="100" t="s">
        <v>41</v>
      </c>
      <c r="D7" s="148">
        <v>3312365.1010000003</v>
      </c>
      <c r="E7" s="149" t="s">
        <v>22</v>
      </c>
      <c r="F7" s="148">
        <v>1656182.55</v>
      </c>
      <c r="G7" s="150">
        <f t="shared" si="1"/>
        <v>0.49999999984905041</v>
      </c>
      <c r="H7" s="148">
        <v>861244.23100000003</v>
      </c>
      <c r="I7" s="151">
        <f t="shared" si="2"/>
        <v>0.52001769430549794</v>
      </c>
      <c r="J7" s="152">
        <v>861244.23199999996</v>
      </c>
      <c r="K7" s="152">
        <v>861244.23199999996</v>
      </c>
      <c r="L7" s="150">
        <f t="shared" si="7"/>
        <v>1.0000000011611108</v>
      </c>
      <c r="M7" s="148">
        <v>861244.23167000001</v>
      </c>
      <c r="N7" s="151">
        <f t="shared" si="3"/>
        <v>0.2600088472765249</v>
      </c>
      <c r="O7" s="152">
        <v>0</v>
      </c>
      <c r="P7" s="151">
        <f t="shared" si="4"/>
        <v>0</v>
      </c>
      <c r="Q7" s="152">
        <v>0</v>
      </c>
      <c r="R7" s="152">
        <v>861244.23199999996</v>
      </c>
      <c r="S7" s="153">
        <v>1929582.29669</v>
      </c>
      <c r="T7" s="152">
        <v>2112884.2829999998</v>
      </c>
      <c r="U7" s="152">
        <v>7053.08</v>
      </c>
      <c r="V7" s="152">
        <v>1969243.8046299999</v>
      </c>
      <c r="W7" s="152"/>
      <c r="X7" s="152"/>
      <c r="Y7" s="152"/>
      <c r="Z7" s="152">
        <f t="shared" si="8"/>
        <v>1969243.8046299999</v>
      </c>
      <c r="AA7" s="152">
        <v>0</v>
      </c>
      <c r="AB7" s="152">
        <v>481877.06501999998</v>
      </c>
      <c r="AC7" s="152">
        <v>493498.05</v>
      </c>
      <c r="AD7" s="152"/>
      <c r="AE7" s="152"/>
      <c r="AF7" s="152"/>
      <c r="AG7" s="152"/>
      <c r="AH7" s="214">
        <v>0.45</v>
      </c>
      <c r="AI7" s="215">
        <v>0.97</v>
      </c>
      <c r="AJ7" s="215" t="s">
        <v>259</v>
      </c>
      <c r="AK7" s="216">
        <v>46752</v>
      </c>
      <c r="AL7" s="216">
        <v>46356</v>
      </c>
      <c r="AM7" s="216">
        <v>46492</v>
      </c>
      <c r="AN7" s="74">
        <f t="shared" si="9"/>
        <v>-3.199997590854764E-4</v>
      </c>
    </row>
    <row r="8" spans="1:40" ht="69.75" x14ac:dyDescent="0.25">
      <c r="A8" s="117" t="s">
        <v>264</v>
      </c>
      <c r="B8" s="124" t="s">
        <v>26</v>
      </c>
      <c r="C8" s="101" t="s">
        <v>27</v>
      </c>
      <c r="D8" s="148">
        <v>19683923.613000002</v>
      </c>
      <c r="E8" s="149" t="s">
        <v>22</v>
      </c>
      <c r="F8" s="148">
        <v>10641056.30978</v>
      </c>
      <c r="G8" s="150">
        <f t="shared" si="1"/>
        <v>0.54059630178366713</v>
      </c>
      <c r="H8" s="148">
        <v>10557471.740879999</v>
      </c>
      <c r="I8" s="151">
        <f t="shared" si="2"/>
        <v>0.99214508724822936</v>
      </c>
      <c r="J8" s="152">
        <v>5859350.8948600003</v>
      </c>
      <c r="K8" s="152">
        <v>9025483.3680000007</v>
      </c>
      <c r="L8" s="150">
        <f t="shared" si="7"/>
        <v>0.85489060160607144</v>
      </c>
      <c r="M8" s="148">
        <f>12893597.40074-600000</f>
        <v>12293597.400739999</v>
      </c>
      <c r="N8" s="151">
        <f t="shared" si="3"/>
        <v>0.62455014774700945</v>
      </c>
      <c r="O8" s="152">
        <v>3268114.0326800002</v>
      </c>
      <c r="P8" s="151">
        <f t="shared" si="4"/>
        <v>0.16602960349437726</v>
      </c>
      <c r="Q8" s="152">
        <v>2900772.648</v>
      </c>
      <c r="R8" s="152">
        <v>6634819.0199999996</v>
      </c>
      <c r="S8" s="153">
        <v>847116.61205999996</v>
      </c>
      <c r="T8" s="154">
        <v>905382.73800000001</v>
      </c>
      <c r="U8" s="154"/>
      <c r="V8" s="154">
        <f>250000+47116.61206</f>
        <v>297116.61206000001</v>
      </c>
      <c r="W8" s="154"/>
      <c r="X8" s="154"/>
      <c r="Y8" s="154"/>
      <c r="Z8" s="154">
        <f t="shared" si="8"/>
        <v>297116.61206000001</v>
      </c>
      <c r="AA8" s="152">
        <v>550000</v>
      </c>
      <c r="AB8" s="152">
        <v>400000</v>
      </c>
      <c r="AC8" s="152">
        <v>1827282.0279999999</v>
      </c>
      <c r="AD8" s="152">
        <v>5500000</v>
      </c>
      <c r="AE8" s="152">
        <v>7107430.7690000003</v>
      </c>
      <c r="AF8" s="152">
        <v>1193209.59993</v>
      </c>
      <c r="AG8" s="152">
        <v>2898778.125</v>
      </c>
      <c r="AH8" s="214">
        <v>0.47</v>
      </c>
      <c r="AI8" s="215">
        <v>0.95</v>
      </c>
      <c r="AJ8" s="215" t="s">
        <v>259</v>
      </c>
      <c r="AK8" s="216">
        <v>47479</v>
      </c>
      <c r="AL8" s="216">
        <v>45049</v>
      </c>
      <c r="AM8" s="216">
        <v>46783</v>
      </c>
      <c r="AN8" s="74">
        <f t="shared" si="9"/>
        <v>2.7000205591320992E-4</v>
      </c>
    </row>
    <row r="9" spans="1:40" ht="139.5" x14ac:dyDescent="0.25">
      <c r="A9" s="117" t="s">
        <v>265</v>
      </c>
      <c r="B9" s="117" t="s">
        <v>30</v>
      </c>
      <c r="C9" s="101" t="s">
        <v>31</v>
      </c>
      <c r="D9" s="148">
        <v>5268439.773</v>
      </c>
      <c r="E9" s="149" t="s">
        <v>17</v>
      </c>
      <c r="F9" s="148">
        <v>3687907.841</v>
      </c>
      <c r="G9" s="150">
        <f t="shared" si="1"/>
        <v>0.69999999998101903</v>
      </c>
      <c r="H9" s="148">
        <v>3687907.841</v>
      </c>
      <c r="I9" s="151">
        <f t="shared" si="2"/>
        <v>1</v>
      </c>
      <c r="J9" s="152">
        <v>0</v>
      </c>
      <c r="K9" s="152">
        <v>1290259.6510000001</v>
      </c>
      <c r="L9" s="150">
        <f t="shared" si="7"/>
        <v>0.34986222721068266</v>
      </c>
      <c r="M9" s="148">
        <v>4840476.6446700003</v>
      </c>
      <c r="N9" s="151">
        <f t="shared" si="3"/>
        <v>0.91876852602107184</v>
      </c>
      <c r="O9" s="152">
        <v>3550216.9929999998</v>
      </c>
      <c r="P9" s="151">
        <f t="shared" si="4"/>
        <v>0.67386496685306219</v>
      </c>
      <c r="Q9" s="152">
        <v>175525.59</v>
      </c>
      <c r="R9" s="152">
        <v>43489.273000000001</v>
      </c>
      <c r="S9" s="153">
        <v>372452.40213</v>
      </c>
      <c r="T9" s="152">
        <v>429471.83799999999</v>
      </c>
      <c r="U9" s="152"/>
      <c r="V9" s="152">
        <v>427963.12865000003</v>
      </c>
      <c r="W9" s="154">
        <v>184000</v>
      </c>
      <c r="X9" s="152"/>
      <c r="Y9" s="152"/>
      <c r="Z9" s="152">
        <f t="shared" si="8"/>
        <v>427963.12865000003</v>
      </c>
      <c r="AA9" s="152">
        <v>0</v>
      </c>
      <c r="AB9" s="152"/>
      <c r="AC9" s="152">
        <v>372000</v>
      </c>
      <c r="AD9" s="152"/>
      <c r="AE9" s="152"/>
      <c r="AF9" s="152"/>
      <c r="AG9" s="152"/>
      <c r="AH9" s="214">
        <v>0.91</v>
      </c>
      <c r="AI9" s="215">
        <v>1</v>
      </c>
      <c r="AJ9" s="215" t="s">
        <v>259</v>
      </c>
      <c r="AK9" s="216">
        <v>46748</v>
      </c>
      <c r="AL9" s="216">
        <v>45176</v>
      </c>
      <c r="AM9" s="216">
        <v>46112</v>
      </c>
      <c r="AN9" s="74">
        <f t="shared" si="9"/>
        <v>-3.2000028295442462E-4</v>
      </c>
    </row>
    <row r="10" spans="1:40" ht="69.75" x14ac:dyDescent="0.25">
      <c r="A10" s="117" t="s">
        <v>266</v>
      </c>
      <c r="B10" s="117" t="s">
        <v>32</v>
      </c>
      <c r="C10" s="102" t="s">
        <v>33</v>
      </c>
      <c r="D10" s="148">
        <v>4600055.3830000004</v>
      </c>
      <c r="E10" s="149" t="s">
        <v>17</v>
      </c>
      <c r="F10" s="148">
        <v>2300027.6910000001</v>
      </c>
      <c r="G10" s="150">
        <f t="shared" si="1"/>
        <v>0.49999999989130561</v>
      </c>
      <c r="H10" s="148">
        <v>2500000</v>
      </c>
      <c r="I10" s="151">
        <f t="shared" si="2"/>
        <v>1.0869434354127521</v>
      </c>
      <c r="J10" s="152">
        <v>236888.427</v>
      </c>
      <c r="K10" s="152">
        <v>659826.81400000001</v>
      </c>
      <c r="L10" s="150">
        <f t="shared" si="7"/>
        <v>0.26393072560000003</v>
      </c>
      <c r="M10" s="148">
        <v>4090706.22212</v>
      </c>
      <c r="N10" s="151">
        <f t="shared" si="3"/>
        <v>0.88927325467376872</v>
      </c>
      <c r="O10" s="152">
        <v>3430879.4079999998</v>
      </c>
      <c r="P10" s="151">
        <f t="shared" si="4"/>
        <v>0.74583436988154184</v>
      </c>
      <c r="Q10" s="152">
        <v>464795.38400000002</v>
      </c>
      <c r="R10" s="152">
        <v>464702.32</v>
      </c>
      <c r="S10" s="153">
        <v>343051.48122000002</v>
      </c>
      <c r="T10" s="152">
        <v>307359.81099999999</v>
      </c>
      <c r="U10" s="152"/>
      <c r="V10" s="152">
        <v>269933</v>
      </c>
      <c r="W10" s="152"/>
      <c r="X10" s="152"/>
      <c r="Y10" s="152"/>
      <c r="Z10" s="152">
        <f t="shared" si="8"/>
        <v>269933</v>
      </c>
      <c r="AA10" s="152">
        <v>0</v>
      </c>
      <c r="AB10" s="152">
        <v>239416.16063999999</v>
      </c>
      <c r="AC10" s="152">
        <v>250000</v>
      </c>
      <c r="AD10" s="152"/>
      <c r="AE10" s="152">
        <v>16</v>
      </c>
      <c r="AF10" s="152"/>
      <c r="AG10" s="152"/>
      <c r="AH10" s="217">
        <v>0.97</v>
      </c>
      <c r="AI10" s="215">
        <v>1</v>
      </c>
      <c r="AJ10" s="215" t="s">
        <v>259</v>
      </c>
      <c r="AK10" s="216">
        <v>47114</v>
      </c>
      <c r="AL10" s="216">
        <v>44925</v>
      </c>
      <c r="AM10" s="216">
        <v>46052</v>
      </c>
      <c r="AN10" s="74">
        <f t="shared" si="9"/>
        <v>2.4000034318305552E-4</v>
      </c>
    </row>
    <row r="11" spans="1:40" ht="69.75" x14ac:dyDescent="0.25">
      <c r="A11" s="117" t="s">
        <v>267</v>
      </c>
      <c r="B11" s="124" t="s">
        <v>28</v>
      </c>
      <c r="C11" s="103" t="s">
        <v>29</v>
      </c>
      <c r="D11" s="148">
        <v>7955408.5609499998</v>
      </c>
      <c r="E11" s="149" t="s">
        <v>17</v>
      </c>
      <c r="F11" s="148">
        <v>4664989.4589999998</v>
      </c>
      <c r="G11" s="150">
        <f t="shared" si="1"/>
        <v>0.58639219133239928</v>
      </c>
      <c r="H11" s="148">
        <v>4664989.4589999998</v>
      </c>
      <c r="I11" s="151">
        <f t="shared" si="2"/>
        <v>1</v>
      </c>
      <c r="J11" s="152">
        <v>0</v>
      </c>
      <c r="K11" s="152">
        <v>458746.29200000002</v>
      </c>
      <c r="L11" s="150">
        <f t="shared" si="7"/>
        <v>9.8338119738932514E-2</v>
      </c>
      <c r="M11" s="148">
        <v>7677586.3094100002</v>
      </c>
      <c r="N11" s="151">
        <f t="shared" si="3"/>
        <v>0.96507756334429873</v>
      </c>
      <c r="O11" s="152">
        <v>7218840.0180000002</v>
      </c>
      <c r="P11" s="151">
        <f t="shared" si="4"/>
        <v>0.90741285789324166</v>
      </c>
      <c r="Q11" s="152">
        <v>405053.61700000003</v>
      </c>
      <c r="R11" s="152">
        <v>148897.709</v>
      </c>
      <c r="S11" s="153">
        <v>196719.96135999999</v>
      </c>
      <c r="T11" s="152">
        <v>285775.40700000001</v>
      </c>
      <c r="U11" s="152"/>
      <c r="V11" s="152">
        <v>277822.25154000003</v>
      </c>
      <c r="W11" s="152"/>
      <c r="X11" s="152"/>
      <c r="Y11" s="152"/>
      <c r="Z11" s="152">
        <f t="shared" si="8"/>
        <v>277822.25154000003</v>
      </c>
      <c r="AA11" s="152">
        <v>0</v>
      </c>
      <c r="AB11" s="152"/>
      <c r="AC11" s="152">
        <v>41000</v>
      </c>
      <c r="AD11" s="152"/>
      <c r="AE11" s="152"/>
      <c r="AF11" s="152"/>
      <c r="AG11" s="152"/>
      <c r="AH11" s="214">
        <v>0.98</v>
      </c>
      <c r="AI11" s="215">
        <v>1</v>
      </c>
      <c r="AJ11" s="215" t="s">
        <v>259</v>
      </c>
      <c r="AK11" s="216">
        <v>46748</v>
      </c>
      <c r="AL11" s="216">
        <v>44916</v>
      </c>
      <c r="AM11" s="216">
        <v>46112</v>
      </c>
      <c r="AN11" s="74">
        <f t="shared" si="9"/>
        <v>-4.0745362639427185E-10</v>
      </c>
    </row>
    <row r="12" spans="1:40" ht="139.5" x14ac:dyDescent="0.25">
      <c r="A12" s="117" t="s">
        <v>268</v>
      </c>
      <c r="B12" s="117" t="s">
        <v>15</v>
      </c>
      <c r="C12" s="100" t="s">
        <v>16</v>
      </c>
      <c r="D12" s="148">
        <v>2526555.574</v>
      </c>
      <c r="E12" s="149" t="s">
        <v>17</v>
      </c>
      <c r="F12" s="148">
        <v>731439.61199999996</v>
      </c>
      <c r="G12" s="150">
        <f t="shared" si="1"/>
        <v>0.28950070187531918</v>
      </c>
      <c r="H12" s="148">
        <v>731439.61199999996</v>
      </c>
      <c r="I12" s="151">
        <f t="shared" si="2"/>
        <v>1</v>
      </c>
      <c r="J12" s="152">
        <v>0</v>
      </c>
      <c r="K12" s="152">
        <v>35399.646999999997</v>
      </c>
      <c r="L12" s="150">
        <f t="shared" si="7"/>
        <v>4.8397224349397146E-2</v>
      </c>
      <c r="M12" s="148">
        <v>2153709.12879</v>
      </c>
      <c r="N12" s="151">
        <f t="shared" ref="N12:N18" si="10">M12/D12</f>
        <v>0.85242895543369512</v>
      </c>
      <c r="O12" s="152">
        <v>2118309.4810000001</v>
      </c>
      <c r="P12" s="151">
        <f t="shared" ref="P12:P18" si="11">O12/D12</f>
        <v>0.83841792470304877</v>
      </c>
      <c r="Q12" s="152">
        <v>0</v>
      </c>
      <c r="R12" s="152">
        <v>0</v>
      </c>
      <c r="S12" s="153">
        <v>364096.44471000001</v>
      </c>
      <c r="T12" s="152">
        <v>100000</v>
      </c>
      <c r="U12" s="152"/>
      <c r="V12" s="152">
        <v>98711.059710000001</v>
      </c>
      <c r="W12" s="152"/>
      <c r="X12" s="152"/>
      <c r="Y12" s="152"/>
      <c r="Z12" s="152">
        <f t="shared" si="8"/>
        <v>98711.059710000001</v>
      </c>
      <c r="AA12" s="152">
        <v>0</v>
      </c>
      <c r="AB12" s="152">
        <v>274135.38500000001</v>
      </c>
      <c r="AC12" s="152">
        <v>274135.38500000001</v>
      </c>
      <c r="AD12" s="152"/>
      <c r="AE12" s="152"/>
      <c r="AF12" s="152"/>
      <c r="AG12" s="152"/>
      <c r="AH12" s="218" t="s">
        <v>246</v>
      </c>
      <c r="AI12" s="215">
        <v>1</v>
      </c>
      <c r="AJ12" s="215" t="s">
        <v>259</v>
      </c>
      <c r="AK12" s="216">
        <v>46748</v>
      </c>
      <c r="AL12" s="216">
        <v>44195</v>
      </c>
      <c r="AM12" s="216">
        <v>46053</v>
      </c>
      <c r="AN12" s="74">
        <f t="shared" si="9"/>
        <v>5.0000002374872565E-4</v>
      </c>
    </row>
    <row r="13" spans="1:40" ht="139.5" x14ac:dyDescent="0.25">
      <c r="A13" s="117" t="s">
        <v>269</v>
      </c>
      <c r="B13" s="117" t="s">
        <v>18</v>
      </c>
      <c r="C13" s="100" t="s">
        <v>19</v>
      </c>
      <c r="D13" s="148">
        <v>2800487.966</v>
      </c>
      <c r="E13" s="149" t="s">
        <v>17</v>
      </c>
      <c r="F13" s="148">
        <v>840146.38899999997</v>
      </c>
      <c r="G13" s="150">
        <f t="shared" si="1"/>
        <v>0.2999999997143355</v>
      </c>
      <c r="H13" s="148">
        <v>840146.38899999997</v>
      </c>
      <c r="I13" s="151">
        <f t="shared" ref="I13:I71" si="12">H13/F13</f>
        <v>1</v>
      </c>
      <c r="J13" s="152">
        <v>0</v>
      </c>
      <c r="K13" s="152">
        <v>0</v>
      </c>
      <c r="L13" s="150">
        <f t="shared" si="7"/>
        <v>0</v>
      </c>
      <c r="M13" s="148">
        <v>2585570.2609999999</v>
      </c>
      <c r="N13" s="151">
        <f t="shared" si="10"/>
        <v>0.92325705105350908</v>
      </c>
      <c r="O13" s="148">
        <v>2585570.2609999999</v>
      </c>
      <c r="P13" s="151">
        <f t="shared" si="11"/>
        <v>0.92325705105350908</v>
      </c>
      <c r="Q13" s="148">
        <v>44135.061999999998</v>
      </c>
      <c r="R13" s="148">
        <v>41491.784</v>
      </c>
      <c r="S13" s="153">
        <v>214707.33828</v>
      </c>
      <c r="T13" s="152">
        <v>218958.66800000001</v>
      </c>
      <c r="U13" s="152"/>
      <c r="V13" s="152">
        <v>214917.70488</v>
      </c>
      <c r="W13" s="152"/>
      <c r="X13" s="152"/>
      <c r="Y13" s="152"/>
      <c r="Z13" s="152">
        <f t="shared" si="8"/>
        <v>214917.70488</v>
      </c>
      <c r="AA13" s="152">
        <v>0</v>
      </c>
      <c r="AB13" s="152">
        <v>0</v>
      </c>
      <c r="AC13" s="152"/>
      <c r="AD13" s="152"/>
      <c r="AE13" s="152"/>
      <c r="AF13" s="152"/>
      <c r="AG13" s="152"/>
      <c r="AH13" s="218" t="s">
        <v>246</v>
      </c>
      <c r="AI13" s="215">
        <v>1</v>
      </c>
      <c r="AJ13" s="215" t="s">
        <v>259</v>
      </c>
      <c r="AK13" s="216">
        <v>47848</v>
      </c>
      <c r="AL13" s="216">
        <v>44218</v>
      </c>
      <c r="AM13" s="216">
        <v>46053</v>
      </c>
      <c r="AN13" s="74">
        <f t="shared" si="9"/>
        <v>1.2000006972812116E-4</v>
      </c>
    </row>
    <row r="14" spans="1:40" ht="162.75" x14ac:dyDescent="0.25">
      <c r="A14" s="117" t="s">
        <v>270</v>
      </c>
      <c r="B14" s="117" t="s">
        <v>20</v>
      </c>
      <c r="C14" s="100" t="s">
        <v>21</v>
      </c>
      <c r="D14" s="148">
        <v>4779285.1770000001</v>
      </c>
      <c r="E14" s="149" t="s">
        <v>22</v>
      </c>
      <c r="F14" s="148">
        <v>1345921.476</v>
      </c>
      <c r="G14" s="150">
        <f t="shared" ref="G14:G72" si="13">F14/D14</f>
        <v>0.28161564463178718</v>
      </c>
      <c r="H14" s="148">
        <v>1208640.4920000001</v>
      </c>
      <c r="I14" s="151">
        <f t="shared" si="12"/>
        <v>0.8980022338242265</v>
      </c>
      <c r="J14" s="152">
        <v>0</v>
      </c>
      <c r="K14" s="152">
        <v>1208640.4920000001</v>
      </c>
      <c r="L14" s="150">
        <f t="shared" si="7"/>
        <v>1</v>
      </c>
      <c r="M14" s="148">
        <v>1501520.7481</v>
      </c>
      <c r="N14" s="151">
        <f t="shared" si="10"/>
        <v>0.31417266233159119</v>
      </c>
      <c r="O14" s="148">
        <v>292880.25599999999</v>
      </c>
      <c r="P14" s="151">
        <f t="shared" si="11"/>
        <v>6.1281184351473152E-2</v>
      </c>
      <c r="Q14" s="148">
        <v>0</v>
      </c>
      <c r="R14" s="148">
        <v>0</v>
      </c>
      <c r="S14" s="153">
        <v>71000</v>
      </c>
      <c r="T14" s="152">
        <v>324253.54599999997</v>
      </c>
      <c r="U14" s="152">
        <v>215086.38498999999</v>
      </c>
      <c r="V14" s="152">
        <v>100000</v>
      </c>
      <c r="W14" s="154">
        <v>300000</v>
      </c>
      <c r="X14" s="152"/>
      <c r="Y14" s="152"/>
      <c r="Z14" s="152">
        <f t="shared" si="8"/>
        <v>100000</v>
      </c>
      <c r="AA14" s="152">
        <v>980000</v>
      </c>
      <c r="AB14" s="152">
        <v>260000</v>
      </c>
      <c r="AC14" s="152">
        <v>277390.60600000003</v>
      </c>
      <c r="AD14" s="152">
        <v>1440000</v>
      </c>
      <c r="AE14" s="152">
        <v>1500000</v>
      </c>
      <c r="AF14" s="152">
        <v>1477764.42894</v>
      </c>
      <c r="AG14" s="152">
        <v>4224617.7989999996</v>
      </c>
      <c r="AH14" s="219" t="s">
        <v>247</v>
      </c>
      <c r="AI14" s="220">
        <v>0.95</v>
      </c>
      <c r="AJ14" s="215" t="s">
        <v>259</v>
      </c>
      <c r="AK14" s="216">
        <v>47479</v>
      </c>
      <c r="AL14" s="216">
        <v>46446</v>
      </c>
      <c r="AM14" s="216">
        <v>46811</v>
      </c>
      <c r="AN14" s="74">
        <f t="shared" si="9"/>
        <v>-3.9999838918447495E-5</v>
      </c>
    </row>
    <row r="15" spans="1:40" ht="186" x14ac:dyDescent="0.35">
      <c r="A15" s="117" t="s">
        <v>271</v>
      </c>
      <c r="B15" s="117" t="s">
        <v>23</v>
      </c>
      <c r="C15" s="100" t="s">
        <v>24</v>
      </c>
      <c r="D15" s="148">
        <v>1033849.196</v>
      </c>
      <c r="E15" s="149" t="s">
        <v>22</v>
      </c>
      <c r="F15" s="148">
        <v>310154.75799999997</v>
      </c>
      <c r="G15" s="150">
        <f t="shared" si="13"/>
        <v>0.29999999922619275</v>
      </c>
      <c r="H15" s="148">
        <v>13968.120999999999</v>
      </c>
      <c r="I15" s="151">
        <f t="shared" si="12"/>
        <v>4.5035972009818404E-2</v>
      </c>
      <c r="J15" s="152">
        <v>0</v>
      </c>
      <c r="K15" s="152">
        <v>13968.120999999999</v>
      </c>
      <c r="L15" s="150">
        <f t="shared" si="7"/>
        <v>1</v>
      </c>
      <c r="M15" s="148">
        <v>13968.121999999999</v>
      </c>
      <c r="N15" s="151">
        <f t="shared" si="10"/>
        <v>1.3510792535355417E-2</v>
      </c>
      <c r="O15" s="148">
        <v>0</v>
      </c>
      <c r="P15" s="151">
        <f t="shared" si="11"/>
        <v>0</v>
      </c>
      <c r="Q15" s="148">
        <v>0</v>
      </c>
      <c r="R15" s="148">
        <v>0</v>
      </c>
      <c r="S15" s="153">
        <v>26624.162240000001</v>
      </c>
      <c r="T15" s="152">
        <v>137592.285</v>
      </c>
      <c r="U15" s="152"/>
      <c r="V15" s="152">
        <v>104992.28423999999</v>
      </c>
      <c r="W15" s="152"/>
      <c r="X15" s="152"/>
      <c r="Y15" s="152"/>
      <c r="Z15" s="152">
        <f t="shared" si="8"/>
        <v>104992.28423999999</v>
      </c>
      <c r="AA15" s="152">
        <v>70000</v>
      </c>
      <c r="AB15" s="152">
        <v>72000</v>
      </c>
      <c r="AC15" s="152">
        <v>78000</v>
      </c>
      <c r="AD15" s="152">
        <v>842888.78989999997</v>
      </c>
      <c r="AE15" s="152">
        <v>1170439.5930000001</v>
      </c>
      <c r="AF15" s="152"/>
      <c r="AG15" s="152"/>
      <c r="AH15" s="218" t="s">
        <v>247</v>
      </c>
      <c r="AI15" s="221"/>
      <c r="AJ15" s="222"/>
      <c r="AK15" s="216">
        <v>47114</v>
      </c>
      <c r="AL15" s="216">
        <v>46831</v>
      </c>
      <c r="AM15" s="216">
        <v>46831</v>
      </c>
      <c r="AN15" s="74">
        <f t="shared" si="9"/>
        <v>-1.3999990187585354E-4</v>
      </c>
    </row>
    <row r="16" spans="1:40" ht="93" x14ac:dyDescent="0.25">
      <c r="A16" s="117" t="s">
        <v>272</v>
      </c>
      <c r="B16" s="117" t="s">
        <v>34</v>
      </c>
      <c r="C16" s="100" t="s">
        <v>35</v>
      </c>
      <c r="D16" s="148">
        <v>957471.61795999995</v>
      </c>
      <c r="E16" s="149" t="s">
        <v>22</v>
      </c>
      <c r="F16" s="148">
        <v>418987.67200000002</v>
      </c>
      <c r="G16" s="150">
        <f t="shared" si="13"/>
        <v>0.43759800723148323</v>
      </c>
      <c r="H16" s="148">
        <v>11211.191000000001</v>
      </c>
      <c r="I16" s="151">
        <f t="shared" si="12"/>
        <v>2.6757806372880586E-2</v>
      </c>
      <c r="J16" s="152">
        <v>0</v>
      </c>
      <c r="K16" s="152">
        <v>11211.191000000001</v>
      </c>
      <c r="L16" s="150">
        <f t="shared" si="7"/>
        <v>1</v>
      </c>
      <c r="M16" s="148">
        <v>11211.19</v>
      </c>
      <c r="N16" s="151">
        <f t="shared" si="10"/>
        <v>1.1709161702241046E-2</v>
      </c>
      <c r="O16" s="152">
        <v>0</v>
      </c>
      <c r="P16" s="151">
        <f t="shared" si="11"/>
        <v>0</v>
      </c>
      <c r="Q16" s="152">
        <v>0</v>
      </c>
      <c r="R16" s="152">
        <v>0</v>
      </c>
      <c r="S16" s="153">
        <v>111159.44658</v>
      </c>
      <c r="T16" s="152">
        <v>84890.067999999999</v>
      </c>
      <c r="U16" s="152"/>
      <c r="V16" s="152">
        <v>64126.923629999998</v>
      </c>
      <c r="W16" s="152"/>
      <c r="X16" s="152"/>
      <c r="Y16" s="152"/>
      <c r="Z16" s="152">
        <f t="shared" si="8"/>
        <v>64126.923629999998</v>
      </c>
      <c r="AA16" s="152">
        <v>1274254.9362999999</v>
      </c>
      <c r="AB16" s="152">
        <v>882133.50294999999</v>
      </c>
      <c r="AC16" s="152">
        <v>1336150.21</v>
      </c>
      <c r="AD16" s="152"/>
      <c r="AE16" s="152"/>
      <c r="AF16" s="152"/>
      <c r="AG16" s="152"/>
      <c r="AH16" s="223" t="s">
        <v>247</v>
      </c>
      <c r="AI16" s="215">
        <v>0</v>
      </c>
      <c r="AJ16" s="215" t="s">
        <v>259</v>
      </c>
      <c r="AK16" s="216">
        <v>46748</v>
      </c>
      <c r="AL16" s="216">
        <v>46660</v>
      </c>
      <c r="AM16" s="216">
        <v>46501</v>
      </c>
      <c r="AN16" s="74">
        <f t="shared" si="9"/>
        <v>1.3800000306218863E-3</v>
      </c>
    </row>
    <row r="17" spans="1:40" ht="139.5" x14ac:dyDescent="0.25">
      <c r="A17" s="117" t="s">
        <v>273</v>
      </c>
      <c r="B17" s="117" t="s">
        <v>36</v>
      </c>
      <c r="C17" s="100" t="s">
        <v>37</v>
      </c>
      <c r="D17" s="148">
        <v>2470626.8840000001</v>
      </c>
      <c r="E17" s="149" t="s">
        <v>22</v>
      </c>
      <c r="F17" s="148">
        <v>741188.06499999994</v>
      </c>
      <c r="G17" s="150">
        <f t="shared" si="13"/>
        <v>0.29999999991904885</v>
      </c>
      <c r="H17" s="148">
        <v>31888.61</v>
      </c>
      <c r="I17" s="151">
        <f t="shared" si="12"/>
        <v>4.3023642049605862E-2</v>
      </c>
      <c r="J17" s="152">
        <v>31888.61</v>
      </c>
      <c r="K17" s="152">
        <v>31888.61</v>
      </c>
      <c r="L17" s="150">
        <f t="shared" si="7"/>
        <v>1</v>
      </c>
      <c r="M17" s="148">
        <v>31888.61</v>
      </c>
      <c r="N17" s="151">
        <f t="shared" si="10"/>
        <v>1.2907092611398946E-2</v>
      </c>
      <c r="O17" s="152">
        <v>0</v>
      </c>
      <c r="P17" s="151">
        <f t="shared" si="11"/>
        <v>0</v>
      </c>
      <c r="Q17" s="152">
        <v>0</v>
      </c>
      <c r="R17" s="152">
        <v>31888.61</v>
      </c>
      <c r="S17" s="153">
        <v>826179.92226999998</v>
      </c>
      <c r="T17" s="152">
        <v>380829.04399999999</v>
      </c>
      <c r="U17" s="152"/>
      <c r="V17" s="152">
        <v>372229.77626999997</v>
      </c>
      <c r="W17" s="154">
        <v>967000</v>
      </c>
      <c r="X17" s="152"/>
      <c r="Y17" s="152"/>
      <c r="Z17" s="152">
        <f t="shared" si="8"/>
        <v>372229.77626999997</v>
      </c>
      <c r="AA17" s="152">
        <v>1612558.6518600001</v>
      </c>
      <c r="AB17" s="152">
        <v>2066508.49786</v>
      </c>
      <c r="AC17" s="152">
        <v>2255599.7400000002</v>
      </c>
      <c r="AD17" s="152"/>
      <c r="AE17" s="152">
        <v>670635.74600000004</v>
      </c>
      <c r="AF17" s="152"/>
      <c r="AG17" s="152"/>
      <c r="AH17" s="223" t="s">
        <v>247</v>
      </c>
      <c r="AI17" s="215">
        <v>0</v>
      </c>
      <c r="AJ17" s="215" t="s">
        <v>260</v>
      </c>
      <c r="AK17" s="224"/>
      <c r="AL17" s="224"/>
      <c r="AM17" s="216">
        <v>46746</v>
      </c>
      <c r="AN17" s="74">
        <f t="shared" si="9"/>
        <v>-1.2999982573091984E-4</v>
      </c>
    </row>
    <row r="18" spans="1:40" ht="93" x14ac:dyDescent="0.35">
      <c r="A18" s="98" t="s">
        <v>274</v>
      </c>
      <c r="B18" s="119" t="s">
        <v>38</v>
      </c>
      <c r="C18" s="101" t="s">
        <v>39</v>
      </c>
      <c r="D18" s="148">
        <v>1753364.65</v>
      </c>
      <c r="E18" s="149" t="s">
        <v>22</v>
      </c>
      <c r="F18" s="148">
        <v>526009.39500000002</v>
      </c>
      <c r="G18" s="150">
        <f t="shared" si="13"/>
        <v>0.30000000000000004</v>
      </c>
      <c r="H18" s="148">
        <v>427109.41899999999</v>
      </c>
      <c r="I18" s="151">
        <f t="shared" si="12"/>
        <v>0.81198059019459146</v>
      </c>
      <c r="J18" s="152">
        <v>427109.41899999999</v>
      </c>
      <c r="K18" s="152">
        <v>427109.41899999999</v>
      </c>
      <c r="L18" s="150">
        <f t="shared" si="7"/>
        <v>1</v>
      </c>
      <c r="M18" s="148">
        <v>427109.42</v>
      </c>
      <c r="N18" s="151">
        <f t="shared" si="10"/>
        <v>0.24359417762870947</v>
      </c>
      <c r="O18" s="152">
        <v>0</v>
      </c>
      <c r="P18" s="151">
        <f t="shared" si="11"/>
        <v>0</v>
      </c>
      <c r="Q18" s="152">
        <v>0</v>
      </c>
      <c r="R18" s="152">
        <v>427109.41899999999</v>
      </c>
      <c r="S18" s="153">
        <v>153255.31299000001</v>
      </c>
      <c r="T18" s="152">
        <v>283890.58</v>
      </c>
      <c r="U18" s="152"/>
      <c r="V18" s="152">
        <v>73255.312990000006</v>
      </c>
      <c r="W18" s="154">
        <v>180000</v>
      </c>
      <c r="X18" s="152"/>
      <c r="Y18" s="152"/>
      <c r="Z18" s="152">
        <f t="shared" si="8"/>
        <v>73255.312990000006</v>
      </c>
      <c r="AA18" s="152">
        <v>90000</v>
      </c>
      <c r="AB18" s="152">
        <v>90000</v>
      </c>
      <c r="AC18" s="152">
        <v>100000</v>
      </c>
      <c r="AD18" s="152">
        <v>1162999.9173999999</v>
      </c>
      <c r="AE18" s="152">
        <v>1490000</v>
      </c>
      <c r="AF18" s="152"/>
      <c r="AG18" s="152"/>
      <c r="AH18" s="223" t="s">
        <v>247</v>
      </c>
      <c r="AI18" s="221"/>
      <c r="AJ18" s="222"/>
      <c r="AK18" s="216">
        <v>47114</v>
      </c>
      <c r="AL18" s="216">
        <v>46744</v>
      </c>
      <c r="AM18" s="216">
        <v>47112</v>
      </c>
      <c r="AN18" s="74">
        <f t="shared" si="9"/>
        <v>-3.8999994285404682E-4</v>
      </c>
    </row>
    <row r="19" spans="1:40" ht="51.75" customHeight="1" x14ac:dyDescent="0.35">
      <c r="A19" s="57"/>
      <c r="B19" s="66" t="s">
        <v>44</v>
      </c>
      <c r="C19" s="61"/>
      <c r="D19" s="145">
        <f>SUM(D20:D26)</f>
        <v>28155094.089999996</v>
      </c>
      <c r="E19" s="146"/>
      <c r="F19" s="145">
        <f>SUM(F20:F26)</f>
        <v>11521892.577980001</v>
      </c>
      <c r="G19" s="135">
        <f>F19/D19</f>
        <v>0.40922941124435086</v>
      </c>
      <c r="H19" s="145">
        <f>SUM(H20:H26)</f>
        <v>7241237.3404499991</v>
      </c>
      <c r="I19" s="136">
        <f>H19/F19</f>
        <v>0.62847638019894825</v>
      </c>
      <c r="J19" s="145">
        <f>SUM(J20:J26)</f>
        <v>2731721.3485999997</v>
      </c>
      <c r="K19" s="145">
        <f>SUM(K20:K26)</f>
        <v>3353747.3541199998</v>
      </c>
      <c r="L19" s="135">
        <f t="shared" si="7"/>
        <v>0.46314561951805666</v>
      </c>
      <c r="M19" s="145">
        <f>SUM(M20:M26)</f>
        <v>10043966.014789999</v>
      </c>
      <c r="N19" s="136">
        <f t="shared" ref="N19:N34" si="14">M19/D19</f>
        <v>0.3567370786502671</v>
      </c>
      <c r="O19" s="145">
        <f>SUM(O20:O26)</f>
        <v>6690218.6600299999</v>
      </c>
      <c r="P19" s="136">
        <f>O19/D19</f>
        <v>0.23762018477523764</v>
      </c>
      <c r="Q19" s="145">
        <f>SUM(Q20:Q26)</f>
        <v>2323598.01871</v>
      </c>
      <c r="R19" s="145">
        <f>SUM(R20:R26)</f>
        <v>3355457.7695999998</v>
      </c>
      <c r="S19" s="147">
        <f>SUM(S22:S26)</f>
        <v>1208300.21517</v>
      </c>
      <c r="T19" s="145">
        <f>SUM(T20:T26)</f>
        <v>5402900.398</v>
      </c>
      <c r="U19" s="145">
        <f>SUM(U20:U26)</f>
        <v>71059.085999999996</v>
      </c>
      <c r="V19" s="145">
        <f t="shared" ref="V19:Z19" si="15">SUM(V20:V26)</f>
        <v>4518278.9442599993</v>
      </c>
      <c r="W19" s="145">
        <f t="shared" si="15"/>
        <v>168000</v>
      </c>
      <c r="X19" s="145">
        <f t="shared" si="15"/>
        <v>3239248.1235500001</v>
      </c>
      <c r="Y19" s="145">
        <f t="shared" si="15"/>
        <v>3239248.1235500001</v>
      </c>
      <c r="Z19" s="145">
        <f t="shared" si="15"/>
        <v>1279030.8207100001</v>
      </c>
      <c r="AA19" s="145">
        <f>SUM(AA22:AA26)</f>
        <v>1999150.4118300001</v>
      </c>
      <c r="AB19" s="145">
        <f t="shared" ref="AB19:AG19" si="16">SUM(AB20:AB26)</f>
        <v>701982.45293999999</v>
      </c>
      <c r="AC19" s="145">
        <f t="shared" si="16"/>
        <v>915222.80599999998</v>
      </c>
      <c r="AD19" s="145">
        <f t="shared" si="16"/>
        <v>2683660.4118300001</v>
      </c>
      <c r="AE19" s="145">
        <f t="shared" si="16"/>
        <v>3108838.0530000003</v>
      </c>
      <c r="AF19" s="145">
        <f t="shared" si="16"/>
        <v>13437044.91451</v>
      </c>
      <c r="AG19" s="145">
        <f t="shared" si="16"/>
        <v>19553430.094999999</v>
      </c>
      <c r="AH19" s="213"/>
      <c r="AI19" s="210"/>
      <c r="AJ19" s="211"/>
      <c r="AK19" s="213"/>
      <c r="AL19" s="213"/>
      <c r="AM19" s="213"/>
      <c r="AN19" s="74">
        <f t="shared" si="9"/>
        <v>9409.475219996646</v>
      </c>
    </row>
    <row r="20" spans="1:40" ht="93" x14ac:dyDescent="0.25">
      <c r="A20" s="104">
        <v>1</v>
      </c>
      <c r="B20" s="120" t="s">
        <v>50</v>
      </c>
      <c r="C20" s="100" t="s">
        <v>51</v>
      </c>
      <c r="D20" s="148">
        <v>765893.45699999994</v>
      </c>
      <c r="E20" s="149" t="s">
        <v>22</v>
      </c>
      <c r="F20" s="148">
        <v>229768.03700000001</v>
      </c>
      <c r="G20" s="150">
        <f>F20/D20</f>
        <v>0.2999999998694336</v>
      </c>
      <c r="H20" s="148">
        <v>129000</v>
      </c>
      <c r="I20" s="151">
        <f>H20/F20</f>
        <v>0.5614357927425736</v>
      </c>
      <c r="J20" s="152">
        <v>119000</v>
      </c>
      <c r="K20" s="152">
        <v>129000</v>
      </c>
      <c r="L20" s="150">
        <f t="shared" si="7"/>
        <v>1</v>
      </c>
      <c r="M20" s="148">
        <v>129000</v>
      </c>
      <c r="N20" s="151">
        <f>M20/D20</f>
        <v>0.16843073774946743</v>
      </c>
      <c r="O20" s="152">
        <v>0</v>
      </c>
      <c r="P20" s="151">
        <f>O20/D20</f>
        <v>0</v>
      </c>
      <c r="Q20" s="152">
        <v>0</v>
      </c>
      <c r="R20" s="152">
        <v>119000</v>
      </c>
      <c r="S20" s="153">
        <v>113333.33334</v>
      </c>
      <c r="T20" s="152">
        <v>740884.52300000004</v>
      </c>
      <c r="U20" s="152"/>
      <c r="V20" s="152">
        <v>600834.63956000004</v>
      </c>
      <c r="W20" s="152"/>
      <c r="X20" s="152"/>
      <c r="Y20" s="152"/>
      <c r="Z20" s="152">
        <f t="shared" ref="Z20:Z26" si="17">V20-X20</f>
        <v>600834.63956000004</v>
      </c>
      <c r="AA20" s="152">
        <v>523560.12400000001</v>
      </c>
      <c r="AB20" s="152">
        <v>2718.50747</v>
      </c>
      <c r="AC20" s="152">
        <v>7133.6769999999997</v>
      </c>
      <c r="AD20" s="155"/>
      <c r="AE20" s="155"/>
      <c r="AF20" s="155"/>
      <c r="AG20" s="155"/>
      <c r="AH20" s="225">
        <v>0.01</v>
      </c>
      <c r="AI20" s="215">
        <v>0.28999999999999998</v>
      </c>
      <c r="AJ20" s="215"/>
      <c r="AK20" s="216"/>
      <c r="AL20" s="216">
        <v>46408</v>
      </c>
      <c r="AM20" s="216">
        <v>46408</v>
      </c>
      <c r="AN20" s="74">
        <f t="shared" si="9"/>
        <v>33340.3099699999</v>
      </c>
    </row>
    <row r="21" spans="1:40" ht="255.75" x14ac:dyDescent="0.25">
      <c r="A21" s="104">
        <v>2</v>
      </c>
      <c r="B21" s="121" t="s">
        <v>47</v>
      </c>
      <c r="C21" s="99">
        <v>46106</v>
      </c>
      <c r="D21" s="148">
        <v>14764374.339</v>
      </c>
      <c r="E21" s="149" t="s">
        <v>17</v>
      </c>
      <c r="F21" s="148">
        <v>7382187.1689999998</v>
      </c>
      <c r="G21" s="150">
        <f>F21/D21</f>
        <v>0.4999999999661347</v>
      </c>
      <c r="H21" s="148">
        <v>4996821.2128999997</v>
      </c>
      <c r="I21" s="151">
        <f>H21/F21</f>
        <v>0.67687544334870542</v>
      </c>
      <c r="J21" s="152">
        <v>2040821.2128999999</v>
      </c>
      <c r="K21" s="152">
        <v>2028742.07858</v>
      </c>
      <c r="L21" s="150">
        <f t="shared" si="7"/>
        <v>0.40600653738471087</v>
      </c>
      <c r="M21" s="148">
        <v>4996821.2128999997</v>
      </c>
      <c r="N21" s="151">
        <f>M21/D21</f>
        <v>0.33843772165143016</v>
      </c>
      <c r="O21" s="152">
        <v>2968079.1343200002</v>
      </c>
      <c r="P21" s="151">
        <f>O21/D21</f>
        <v>0.20102979416336242</v>
      </c>
      <c r="Q21" s="152">
        <v>1500000</v>
      </c>
      <c r="R21" s="152">
        <v>2040821.2128999999</v>
      </c>
      <c r="S21" s="153">
        <v>90000</v>
      </c>
      <c r="T21" s="152">
        <v>3130000.057</v>
      </c>
      <c r="U21" s="152">
        <v>44832.303999999996</v>
      </c>
      <c r="V21" s="152">
        <v>2956000</v>
      </c>
      <c r="W21" s="152"/>
      <c r="X21" s="152">
        <v>2956000</v>
      </c>
      <c r="Y21" s="152">
        <v>2956000</v>
      </c>
      <c r="Z21" s="152">
        <f t="shared" si="17"/>
        <v>0</v>
      </c>
      <c r="AA21" s="152">
        <v>500000</v>
      </c>
      <c r="AB21" s="152">
        <v>67000</v>
      </c>
      <c r="AC21" s="152">
        <v>100000</v>
      </c>
      <c r="AD21" s="155">
        <v>921000</v>
      </c>
      <c r="AE21" s="155">
        <v>1000000</v>
      </c>
      <c r="AF21" s="155">
        <v>8779553.1260299999</v>
      </c>
      <c r="AG21" s="155">
        <v>14053848.295</v>
      </c>
      <c r="AH21" s="225">
        <v>0.08</v>
      </c>
      <c r="AI21" s="215">
        <v>0.93</v>
      </c>
      <c r="AJ21" s="215" t="s">
        <v>259</v>
      </c>
      <c r="AK21" s="216">
        <v>43826</v>
      </c>
      <c r="AL21" s="216">
        <v>47844</v>
      </c>
      <c r="AM21" s="216">
        <v>47590</v>
      </c>
      <c r="AN21" s="74">
        <f t="shared" si="9"/>
        <v>7.0000067353248596E-5</v>
      </c>
    </row>
    <row r="22" spans="1:40" ht="255.75" x14ac:dyDescent="0.25">
      <c r="A22" s="104">
        <v>3</v>
      </c>
      <c r="B22" s="119" t="s">
        <v>45</v>
      </c>
      <c r="C22" s="100" t="s">
        <v>46</v>
      </c>
      <c r="D22" s="148">
        <v>2544160.412</v>
      </c>
      <c r="E22" s="152" t="s">
        <v>17</v>
      </c>
      <c r="F22" s="148">
        <v>763248.12300000002</v>
      </c>
      <c r="G22" s="150">
        <f t="shared" si="13"/>
        <v>0.2999999997641658</v>
      </c>
      <c r="H22" s="148">
        <v>763248.12355000002</v>
      </c>
      <c r="I22" s="151">
        <f t="shared" si="12"/>
        <v>1.0000000007206045</v>
      </c>
      <c r="J22" s="152">
        <v>480000</v>
      </c>
      <c r="K22" s="152">
        <v>683975.87483999995</v>
      </c>
      <c r="L22" s="150">
        <f t="shared" si="7"/>
        <v>0.89613829858985961</v>
      </c>
      <c r="M22" s="148">
        <v>763248.12355000002</v>
      </c>
      <c r="N22" s="151">
        <f t="shared" si="14"/>
        <v>0.29999999998034715</v>
      </c>
      <c r="O22" s="152">
        <v>79272.24871</v>
      </c>
      <c r="P22" s="151">
        <f t="shared" ref="P22:P26" si="18">O22/D22</f>
        <v>3.1158510421000922E-2</v>
      </c>
      <c r="Q22" s="152">
        <v>79272.24871</v>
      </c>
      <c r="R22" s="152">
        <v>480000</v>
      </c>
      <c r="S22" s="153">
        <v>50000</v>
      </c>
      <c r="T22" s="152">
        <v>489000</v>
      </c>
      <c r="U22" s="152">
        <v>26217.132000000001</v>
      </c>
      <c r="V22" s="152">
        <v>390000</v>
      </c>
      <c r="W22" s="152"/>
      <c r="X22" s="152">
        <v>283248.12355000002</v>
      </c>
      <c r="Y22" s="152">
        <v>283248.12355000002</v>
      </c>
      <c r="Z22" s="152">
        <f t="shared" si="17"/>
        <v>106751.87644999998</v>
      </c>
      <c r="AA22" s="152">
        <v>1899160.4118300001</v>
      </c>
      <c r="AB22" s="152">
        <v>80000</v>
      </c>
      <c r="AC22" s="152">
        <v>88000</v>
      </c>
      <c r="AD22" s="155">
        <v>1594160.4118300001</v>
      </c>
      <c r="AE22" s="155">
        <v>1938314.8529999999</v>
      </c>
      <c r="AF22" s="155"/>
      <c r="AG22" s="155"/>
      <c r="AH22" s="226">
        <v>0.19</v>
      </c>
      <c r="AI22" s="215">
        <v>0.68</v>
      </c>
      <c r="AJ22" s="215" t="s">
        <v>259</v>
      </c>
      <c r="AK22" s="216">
        <v>47114</v>
      </c>
      <c r="AL22" s="216">
        <v>46419</v>
      </c>
      <c r="AM22" s="216">
        <v>46419</v>
      </c>
      <c r="AN22" s="74">
        <f t="shared" si="9"/>
        <v>1.6999989748001099E-4</v>
      </c>
    </row>
    <row r="23" spans="1:40" ht="162.75" x14ac:dyDescent="0.25">
      <c r="A23" s="122">
        <v>4</v>
      </c>
      <c r="B23" s="122" t="s">
        <v>55</v>
      </c>
      <c r="C23" s="100" t="s">
        <v>56</v>
      </c>
      <c r="D23" s="148">
        <v>135718.92199999999</v>
      </c>
      <c r="E23" s="152" t="s">
        <v>17</v>
      </c>
      <c r="F23" s="148">
        <v>40715.677000000003</v>
      </c>
      <c r="G23" s="150">
        <f>F23/D23</f>
        <v>0.30000000294726775</v>
      </c>
      <c r="H23" s="148">
        <v>40715.677000000003</v>
      </c>
      <c r="I23" s="151">
        <f>H23/F23</f>
        <v>1</v>
      </c>
      <c r="J23" s="148">
        <v>40715.677000000003</v>
      </c>
      <c r="K23" s="152">
        <v>37181.563999999998</v>
      </c>
      <c r="L23" s="150">
        <f t="shared" si="7"/>
        <v>0.91320019067839631</v>
      </c>
      <c r="M23" s="148">
        <v>44833.222999999998</v>
      </c>
      <c r="N23" s="151">
        <f>M23/D23</f>
        <v>0.33033877914238075</v>
      </c>
      <c r="O23" s="152">
        <v>7651.6589999999997</v>
      </c>
      <c r="P23" s="151">
        <f>O23/D23</f>
        <v>5.6378719247416366E-2</v>
      </c>
      <c r="Q23" s="152">
        <v>7651.6589999999997</v>
      </c>
      <c r="R23" s="152">
        <v>44833.222999999998</v>
      </c>
      <c r="S23" s="153">
        <v>67003.245670000004</v>
      </c>
      <c r="T23" s="152">
        <v>235686</v>
      </c>
      <c r="U23" s="152">
        <v>9.65</v>
      </c>
      <c r="V23" s="152">
        <v>70000</v>
      </c>
      <c r="W23" s="152"/>
      <c r="X23" s="152"/>
      <c r="Y23" s="152"/>
      <c r="Z23" s="152">
        <f t="shared" si="17"/>
        <v>70000</v>
      </c>
      <c r="AA23" s="152"/>
      <c r="AB23" s="152">
        <v>44816.523520000002</v>
      </c>
      <c r="AC23" s="152">
        <v>190848.91</v>
      </c>
      <c r="AD23" s="155"/>
      <c r="AE23" s="155">
        <v>105</v>
      </c>
      <c r="AF23" s="155"/>
      <c r="AG23" s="155"/>
      <c r="AH23" s="225">
        <v>0.9</v>
      </c>
      <c r="AI23" s="215">
        <v>0.8</v>
      </c>
      <c r="AJ23" s="215" t="s">
        <v>259</v>
      </c>
      <c r="AK23" s="216">
        <v>47114</v>
      </c>
      <c r="AL23" s="216">
        <v>45149</v>
      </c>
      <c r="AM23" s="216">
        <v>46248</v>
      </c>
      <c r="AN23" s="74">
        <f t="shared" si="9"/>
        <v>-23930.824520000009</v>
      </c>
    </row>
    <row r="24" spans="1:40" ht="116.25" x14ac:dyDescent="0.25">
      <c r="A24" s="122">
        <v>5</v>
      </c>
      <c r="B24" s="117" t="s">
        <v>48</v>
      </c>
      <c r="C24" s="100" t="s">
        <v>49</v>
      </c>
      <c r="D24" s="148">
        <v>4200892.898</v>
      </c>
      <c r="E24" s="149" t="s">
        <v>17</v>
      </c>
      <c r="F24" s="148">
        <v>1260267.8689999999</v>
      </c>
      <c r="G24" s="150">
        <f t="shared" si="13"/>
        <v>0.29999999990478216</v>
      </c>
      <c r="H24" s="148">
        <v>1260267.8689999999</v>
      </c>
      <c r="I24" s="151">
        <f t="shared" si="12"/>
        <v>1</v>
      </c>
      <c r="J24" s="152">
        <v>0</v>
      </c>
      <c r="K24" s="152">
        <v>423663.37800000003</v>
      </c>
      <c r="L24" s="150">
        <f t="shared" si="7"/>
        <v>0.33616930846310422</v>
      </c>
      <c r="M24" s="148">
        <v>4058878.99664</v>
      </c>
      <c r="N24" s="151">
        <f t="shared" si="14"/>
        <v>0.96619435324627978</v>
      </c>
      <c r="O24" s="152">
        <v>3635215.6179999998</v>
      </c>
      <c r="P24" s="151">
        <f t="shared" si="18"/>
        <v>0.86534356058700923</v>
      </c>
      <c r="Q24" s="152">
        <v>736674.11100000003</v>
      </c>
      <c r="R24" s="152">
        <v>619618.875</v>
      </c>
      <c r="S24" s="153">
        <v>125574.24755</v>
      </c>
      <c r="T24" s="152">
        <v>428514.277</v>
      </c>
      <c r="U24" s="152"/>
      <c r="V24" s="152">
        <v>142013.90106999999</v>
      </c>
      <c r="W24" s="152"/>
      <c r="X24" s="152"/>
      <c r="Y24" s="152"/>
      <c r="Z24" s="152">
        <f t="shared" si="17"/>
        <v>142013.90106999999</v>
      </c>
      <c r="AA24" s="152"/>
      <c r="AB24" s="152"/>
      <c r="AC24" s="152"/>
      <c r="AD24" s="155"/>
      <c r="AE24" s="155"/>
      <c r="AF24" s="155"/>
      <c r="AG24" s="155"/>
      <c r="AH24" s="225">
        <v>0.98</v>
      </c>
      <c r="AI24" s="215">
        <v>1</v>
      </c>
      <c r="AJ24" s="215" t="s">
        <v>259</v>
      </c>
      <c r="AK24" s="216">
        <v>46383</v>
      </c>
      <c r="AL24" s="216">
        <v>45580</v>
      </c>
      <c r="AM24" s="216">
        <v>46265</v>
      </c>
      <c r="AN24" s="74">
        <f t="shared" si="9"/>
        <v>2.9000002541579306E-4</v>
      </c>
    </row>
    <row r="25" spans="1:40" ht="69.75" x14ac:dyDescent="0.25">
      <c r="A25" s="122">
        <v>6</v>
      </c>
      <c r="B25" s="117" t="s">
        <v>52</v>
      </c>
      <c r="C25" s="99">
        <v>46259</v>
      </c>
      <c r="D25" s="148">
        <v>612447.42200000002</v>
      </c>
      <c r="E25" s="149" t="s">
        <v>17</v>
      </c>
      <c r="F25" s="148">
        <v>306223.71097999997</v>
      </c>
      <c r="G25" s="150">
        <f t="shared" si="13"/>
        <v>0.49999999996734407</v>
      </c>
      <c r="H25" s="148">
        <v>0</v>
      </c>
      <c r="I25" s="151">
        <f t="shared" si="12"/>
        <v>0</v>
      </c>
      <c r="J25" s="152">
        <v>0</v>
      </c>
      <c r="K25" s="152">
        <v>0</v>
      </c>
      <c r="L25" s="150">
        <v>0</v>
      </c>
      <c r="M25" s="148">
        <v>0</v>
      </c>
      <c r="N25" s="151">
        <f t="shared" si="14"/>
        <v>0</v>
      </c>
      <c r="O25" s="152">
        <v>0</v>
      </c>
      <c r="P25" s="151">
        <f t="shared" si="18"/>
        <v>0</v>
      </c>
      <c r="Q25" s="152">
        <v>0</v>
      </c>
      <c r="R25" s="152">
        <v>0</v>
      </c>
      <c r="S25" s="153">
        <v>569447.42194999999</v>
      </c>
      <c r="T25" s="152">
        <v>200000</v>
      </c>
      <c r="U25" s="152"/>
      <c r="V25" s="152">
        <v>190000</v>
      </c>
      <c r="W25" s="152"/>
      <c r="X25" s="152"/>
      <c r="Y25" s="152"/>
      <c r="Z25" s="152">
        <f t="shared" si="17"/>
        <v>190000</v>
      </c>
      <c r="AA25" s="152"/>
      <c r="AB25" s="152">
        <v>422447.42194999999</v>
      </c>
      <c r="AC25" s="152">
        <v>429240.21899999998</v>
      </c>
      <c r="AD25" s="155"/>
      <c r="AE25" s="155"/>
      <c r="AF25" s="155"/>
      <c r="AG25" s="155"/>
      <c r="AH25" s="223" t="s">
        <v>247</v>
      </c>
      <c r="AI25" s="215">
        <v>0</v>
      </c>
      <c r="AJ25" s="215" t="s">
        <v>259</v>
      </c>
      <c r="AK25" s="216"/>
      <c r="AL25" s="216">
        <v>46646</v>
      </c>
      <c r="AM25" s="216">
        <v>46356</v>
      </c>
      <c r="AN25" s="74">
        <f t="shared" si="9"/>
        <v>5.0000031478703022E-5</v>
      </c>
    </row>
    <row r="26" spans="1:40" ht="116.25" x14ac:dyDescent="0.35">
      <c r="A26" s="122">
        <v>7</v>
      </c>
      <c r="B26" s="122" t="s">
        <v>53</v>
      </c>
      <c r="C26" s="100" t="s">
        <v>54</v>
      </c>
      <c r="D26" s="148">
        <v>5131606.6399999997</v>
      </c>
      <c r="E26" s="149" t="s">
        <v>22</v>
      </c>
      <c r="F26" s="148">
        <v>1539481.9920000001</v>
      </c>
      <c r="G26" s="150">
        <f t="shared" si="13"/>
        <v>0.30000000000000004</v>
      </c>
      <c r="H26" s="148">
        <v>51184.457999999999</v>
      </c>
      <c r="I26" s="151">
        <f t="shared" si="12"/>
        <v>3.3247844577580482E-2</v>
      </c>
      <c r="J26" s="152">
        <v>51184.458700000003</v>
      </c>
      <c r="K26" s="152">
        <v>51184.458700000003</v>
      </c>
      <c r="L26" s="150">
        <f t="shared" ref="L26:L34" si="19">K26/H26</f>
        <v>1.0000000136760265</v>
      </c>
      <c r="M26" s="148">
        <v>51184.458700000003</v>
      </c>
      <c r="N26" s="151">
        <f t="shared" si="14"/>
        <v>9.9743535096836668E-3</v>
      </c>
      <c r="O26" s="152">
        <v>0</v>
      </c>
      <c r="P26" s="151">
        <f t="shared" si="18"/>
        <v>0</v>
      </c>
      <c r="Q26" s="152">
        <v>0</v>
      </c>
      <c r="R26" s="152">
        <v>51184.458700000003</v>
      </c>
      <c r="S26" s="153">
        <v>396275.3</v>
      </c>
      <c r="T26" s="152">
        <v>178815.541</v>
      </c>
      <c r="U26" s="152"/>
      <c r="V26" s="152">
        <v>169430.40362999999</v>
      </c>
      <c r="W26" s="154">
        <v>168000</v>
      </c>
      <c r="X26" s="152"/>
      <c r="Y26" s="152"/>
      <c r="Z26" s="152">
        <f t="shared" si="17"/>
        <v>169430.40362999999</v>
      </c>
      <c r="AA26" s="152">
        <v>99990</v>
      </c>
      <c r="AB26" s="152">
        <v>85000</v>
      </c>
      <c r="AC26" s="152">
        <v>100000</v>
      </c>
      <c r="AD26" s="155">
        <v>168500</v>
      </c>
      <c r="AE26" s="155">
        <v>170418.2</v>
      </c>
      <c r="AF26" s="155">
        <v>4657491.7884799996</v>
      </c>
      <c r="AG26" s="155">
        <v>5499581.7999999998</v>
      </c>
      <c r="AH26" s="223" t="s">
        <v>247</v>
      </c>
      <c r="AI26" s="221"/>
      <c r="AJ26" s="222"/>
      <c r="AK26" s="216"/>
      <c r="AL26" s="216">
        <v>47253</v>
      </c>
      <c r="AM26" s="216">
        <v>47455</v>
      </c>
      <c r="AN26" s="74">
        <f t="shared" si="9"/>
        <v>-1.0809999890625477E-2</v>
      </c>
    </row>
    <row r="27" spans="1:40" ht="53.25" customHeight="1" x14ac:dyDescent="0.35">
      <c r="A27" s="57"/>
      <c r="B27" s="66" t="s">
        <v>57</v>
      </c>
      <c r="C27" s="61"/>
      <c r="D27" s="145">
        <f>SUM(D28:D33)</f>
        <v>5882577.8846199997</v>
      </c>
      <c r="E27" s="146"/>
      <c r="F27" s="145">
        <f>SUM(F28:F33)</f>
        <v>2245038.2592099998</v>
      </c>
      <c r="G27" s="135">
        <f t="shared" ref="G27:G33" si="20">F27/D27</f>
        <v>0.38164190993197938</v>
      </c>
      <c r="H27" s="145">
        <f>SUM(H28:H33)</f>
        <v>1138170.2411100001</v>
      </c>
      <c r="I27" s="136">
        <f>H27/F27</f>
        <v>0.50697142306630782</v>
      </c>
      <c r="J27" s="145">
        <f>SUM(J28:J33)</f>
        <v>466467.15602000005</v>
      </c>
      <c r="K27" s="145">
        <f>SUM(K28:K33)</f>
        <v>384563.52492999996</v>
      </c>
      <c r="L27" s="135">
        <f>K27/H27</f>
        <v>0.33787873820611802</v>
      </c>
      <c r="M27" s="145">
        <f>SUM(M28:M33)</f>
        <v>2256412.5436900002</v>
      </c>
      <c r="N27" s="136">
        <f>M27/D27</f>
        <v>0.3835754643537132</v>
      </c>
      <c r="O27" s="145">
        <f>SUM(O28:O33)</f>
        <v>2010302.33665</v>
      </c>
      <c r="P27" s="136">
        <f>O27/D27</f>
        <v>0.34173832902509216</v>
      </c>
      <c r="Q27" s="145">
        <f>SUM(Q28:Q33)</f>
        <v>1714222.2350000001</v>
      </c>
      <c r="R27" s="145">
        <f>SUM(R28:R33)</f>
        <v>1478718.737</v>
      </c>
      <c r="S27" s="147">
        <f>SUM(S30:S33)</f>
        <v>246305.22594999999</v>
      </c>
      <c r="T27" s="145">
        <f>SUM(T28:T33)</f>
        <v>1318860.6839999999</v>
      </c>
      <c r="U27" s="145">
        <f>SUM(U28:U33)</f>
        <v>20546.569</v>
      </c>
      <c r="V27" s="145">
        <f t="shared" ref="V27:Z27" si="21">SUM(V28:V33)</f>
        <v>1173496.4365079999</v>
      </c>
      <c r="W27" s="145">
        <f t="shared" si="21"/>
        <v>473000</v>
      </c>
      <c r="X27" s="145">
        <f t="shared" si="21"/>
        <v>393102.96918000001</v>
      </c>
      <c r="Y27" s="145">
        <f t="shared" si="21"/>
        <v>312186.04307999997</v>
      </c>
      <c r="Z27" s="145">
        <f t="shared" si="21"/>
        <v>780393.46732800012</v>
      </c>
      <c r="AA27" s="145">
        <f>SUM(AA30:AA33)</f>
        <v>1043005.4839</v>
      </c>
      <c r="AB27" s="145">
        <f t="shared" ref="AB27:AG27" si="22">SUM(AB28:AB33)</f>
        <v>1509448.3356499998</v>
      </c>
      <c r="AC27" s="145">
        <f t="shared" si="22"/>
        <v>1722077.838</v>
      </c>
      <c r="AD27" s="145">
        <f t="shared" si="22"/>
        <v>1336323.5372500001</v>
      </c>
      <c r="AE27" s="145">
        <f t="shared" si="22"/>
        <v>2343534.2999999998</v>
      </c>
      <c r="AF27" s="145">
        <f t="shared" si="22"/>
        <v>0</v>
      </c>
      <c r="AG27" s="145">
        <f t="shared" si="22"/>
        <v>0</v>
      </c>
      <c r="AH27" s="227"/>
      <c r="AI27" s="210"/>
      <c r="AJ27" s="211"/>
      <c r="AK27" s="213"/>
      <c r="AL27" s="213"/>
      <c r="AM27" s="213"/>
      <c r="AN27" s="74">
        <f t="shared" si="9"/>
        <v>7.0199929177761078E-4</v>
      </c>
    </row>
    <row r="28" spans="1:40" ht="139.5" x14ac:dyDescent="0.25">
      <c r="A28" s="122">
        <v>1</v>
      </c>
      <c r="B28" s="117" t="s">
        <v>62</v>
      </c>
      <c r="C28" s="100" t="s">
        <v>63</v>
      </c>
      <c r="D28" s="148">
        <v>901195.08735000005</v>
      </c>
      <c r="E28" s="149" t="s">
        <v>22</v>
      </c>
      <c r="F28" s="152">
        <v>270358.52620999998</v>
      </c>
      <c r="G28" s="150">
        <f t="shared" si="20"/>
        <v>0.30000000000554816</v>
      </c>
      <c r="H28" s="152">
        <v>270358.52620999998</v>
      </c>
      <c r="I28" s="151">
        <f>H28/F28</f>
        <v>1</v>
      </c>
      <c r="J28" s="152">
        <v>95000</v>
      </c>
      <c r="K28" s="152">
        <v>221366.17702999999</v>
      </c>
      <c r="L28" s="150">
        <f>K28/H28</f>
        <v>0.81878748243380584</v>
      </c>
      <c r="M28" s="148">
        <v>372518.39003000001</v>
      </c>
      <c r="N28" s="151">
        <f>M28/D28</f>
        <v>0.4133604313416811</v>
      </c>
      <c r="O28" s="148">
        <v>151152.21299999999</v>
      </c>
      <c r="P28" s="151">
        <f>O28/D28</f>
        <v>0.16772418660699659</v>
      </c>
      <c r="Q28" s="152">
        <v>0</v>
      </c>
      <c r="R28" s="152">
        <v>95000</v>
      </c>
      <c r="S28" s="153">
        <v>90000</v>
      </c>
      <c r="T28" s="152">
        <v>313424.864</v>
      </c>
      <c r="U28" s="152">
        <v>15109.808999999999</v>
      </c>
      <c r="V28" s="152">
        <v>268890.75235000002</v>
      </c>
      <c r="W28" s="152"/>
      <c r="X28" s="152">
        <v>263385.90010999999</v>
      </c>
      <c r="Y28" s="149">
        <v>185299.82947999999</v>
      </c>
      <c r="Z28" s="152">
        <f t="shared" ref="Z28:Z33" si="23">V28-X28</f>
        <v>5504.8522400000365</v>
      </c>
      <c r="AA28" s="152">
        <v>1329868.48563</v>
      </c>
      <c r="AB28" s="152">
        <v>523171.84508</v>
      </c>
      <c r="AC28" s="152">
        <v>526123.15800000005</v>
      </c>
      <c r="AD28" s="155"/>
      <c r="AE28" s="155">
        <v>659000</v>
      </c>
      <c r="AF28" s="155"/>
      <c r="AG28" s="155"/>
      <c r="AH28" s="225">
        <v>0.4</v>
      </c>
      <c r="AI28" s="215">
        <v>0</v>
      </c>
      <c r="AJ28" s="215" t="s">
        <v>259</v>
      </c>
      <c r="AK28" s="216">
        <v>46748</v>
      </c>
      <c r="AL28" s="216">
        <v>46748</v>
      </c>
      <c r="AM28" s="216">
        <v>46748</v>
      </c>
      <c r="AN28" s="74">
        <f t="shared" si="9"/>
        <v>0</v>
      </c>
    </row>
    <row r="29" spans="1:40" ht="116.25" x14ac:dyDescent="0.25">
      <c r="A29" s="122">
        <v>2</v>
      </c>
      <c r="B29" s="124" t="s">
        <v>61</v>
      </c>
      <c r="C29" s="99">
        <v>46197</v>
      </c>
      <c r="D29" s="148">
        <v>1842900.93655</v>
      </c>
      <c r="E29" s="149" t="s">
        <v>22</v>
      </c>
      <c r="F29" s="152">
        <v>541997.82900000003</v>
      </c>
      <c r="G29" s="150">
        <f t="shared" si="20"/>
        <v>0.2941003600631113</v>
      </c>
      <c r="H29" s="152">
        <v>541997.82900000003</v>
      </c>
      <c r="I29" s="151">
        <f>H29/F29</f>
        <v>1</v>
      </c>
      <c r="J29" s="152">
        <v>255958.23924</v>
      </c>
      <c r="K29" s="152">
        <v>0</v>
      </c>
      <c r="L29" s="150">
        <f>K29/H29</f>
        <v>0</v>
      </c>
      <c r="M29" s="148">
        <v>1207021.4483700001</v>
      </c>
      <c r="N29" s="151">
        <f>M29/D29</f>
        <v>0.65495731454214945</v>
      </c>
      <c r="O29" s="148">
        <v>1345474.7660600001</v>
      </c>
      <c r="P29" s="151">
        <f>O29/D29</f>
        <v>0.73008523647440005</v>
      </c>
      <c r="Q29" s="152">
        <v>1207021.4480000001</v>
      </c>
      <c r="R29" s="152">
        <v>920981.85800000001</v>
      </c>
      <c r="S29" s="153">
        <v>576901.62023</v>
      </c>
      <c r="T29" s="152">
        <v>534463.80599999998</v>
      </c>
      <c r="U29" s="152">
        <v>436.76</v>
      </c>
      <c r="V29" s="152">
        <v>520000</v>
      </c>
      <c r="W29" s="152"/>
      <c r="X29" s="152"/>
      <c r="Y29" s="152"/>
      <c r="Z29" s="152">
        <f t="shared" si="23"/>
        <v>520000</v>
      </c>
      <c r="AA29" s="152"/>
      <c r="AB29" s="152">
        <v>115879.48818</v>
      </c>
      <c r="AC29" s="152">
        <v>236000</v>
      </c>
      <c r="AD29" s="155"/>
      <c r="AE29" s="155"/>
      <c r="AF29" s="155"/>
      <c r="AG29" s="155"/>
      <c r="AH29" s="228">
        <v>0.65200000000000002</v>
      </c>
      <c r="AI29" s="215">
        <v>0.99</v>
      </c>
      <c r="AJ29" s="215" t="s">
        <v>259</v>
      </c>
      <c r="AK29" s="216">
        <v>46748</v>
      </c>
      <c r="AL29" s="216">
        <v>46017</v>
      </c>
      <c r="AM29" s="216">
        <v>46115</v>
      </c>
      <c r="AN29" s="74">
        <f t="shared" si="9"/>
        <v>-1.3096723705530167E-10</v>
      </c>
    </row>
    <row r="30" spans="1:40" ht="93" x14ac:dyDescent="0.25">
      <c r="A30" s="122">
        <v>3</v>
      </c>
      <c r="B30" s="124" t="s">
        <v>58</v>
      </c>
      <c r="C30" s="99">
        <v>46227</v>
      </c>
      <c r="D30" s="148">
        <v>542045.63881999999</v>
      </c>
      <c r="E30" s="149" t="s">
        <v>22</v>
      </c>
      <c r="F30" s="152">
        <v>162613.69099999999</v>
      </c>
      <c r="G30" s="150">
        <f t="shared" si="20"/>
        <v>0.29999999880821843</v>
      </c>
      <c r="H30" s="152">
        <v>162616.53899999999</v>
      </c>
      <c r="I30" s="151">
        <f t="shared" ref="I30:I33" si="24">H30/F30</f>
        <v>1.0000175139004748</v>
      </c>
      <c r="J30" s="152">
        <v>78197.781780000005</v>
      </c>
      <c r="K30" s="152">
        <v>0</v>
      </c>
      <c r="L30" s="150">
        <f t="shared" si="19"/>
        <v>0</v>
      </c>
      <c r="M30" s="148">
        <v>513675.35759000003</v>
      </c>
      <c r="N30" s="151">
        <f t="shared" si="14"/>
        <v>0.94766071489522485</v>
      </c>
      <c r="O30" s="148">
        <v>513675.35759000003</v>
      </c>
      <c r="P30" s="151">
        <f t="shared" ref="P30:P34" si="25">O30/D30</f>
        <v>0.94766071489522485</v>
      </c>
      <c r="Q30" s="152">
        <v>507200.78700000001</v>
      </c>
      <c r="R30" s="152">
        <v>426425.74400000001</v>
      </c>
      <c r="S30" s="153">
        <v>17998.49121</v>
      </c>
      <c r="T30" s="152">
        <v>39000</v>
      </c>
      <c r="U30" s="152">
        <v>5000</v>
      </c>
      <c r="V30" s="152">
        <v>31201.136910000001</v>
      </c>
      <c r="W30" s="152"/>
      <c r="X30" s="154">
        <v>2830.85547</v>
      </c>
      <c r="Y30" s="154"/>
      <c r="Z30" s="152">
        <f t="shared" si="23"/>
        <v>28370.281440000002</v>
      </c>
      <c r="AA30" s="152"/>
      <c r="AB30" s="152"/>
      <c r="AC30" s="152">
        <v>78500.467999999993</v>
      </c>
      <c r="AD30" s="155"/>
      <c r="AE30" s="155"/>
      <c r="AF30" s="155"/>
      <c r="AG30" s="155"/>
      <c r="AH30" s="225">
        <v>0.99</v>
      </c>
      <c r="AI30" s="215">
        <v>0.86</v>
      </c>
      <c r="AJ30" s="215" t="s">
        <v>259</v>
      </c>
      <c r="AK30" s="216">
        <v>46748</v>
      </c>
      <c r="AL30" s="216">
        <v>46137</v>
      </c>
      <c r="AM30" s="216">
        <v>46137</v>
      </c>
      <c r="AN30" s="74">
        <f t="shared" si="9"/>
        <v>-2.1000003835069947E-4</v>
      </c>
    </row>
    <row r="31" spans="1:40" ht="162.75" x14ac:dyDescent="0.25">
      <c r="A31" s="122">
        <v>4</v>
      </c>
      <c r="B31" s="117" t="s">
        <v>59</v>
      </c>
      <c r="C31" s="100" t="s">
        <v>60</v>
      </c>
      <c r="D31" s="148">
        <v>942039.36959000002</v>
      </c>
      <c r="E31" s="149" t="s">
        <v>22</v>
      </c>
      <c r="F31" s="152">
        <v>471019.68400000001</v>
      </c>
      <c r="G31" s="150">
        <f t="shared" si="20"/>
        <v>0.49999999915608623</v>
      </c>
      <c r="H31" s="152">
        <v>125424.37330000001</v>
      </c>
      <c r="I31" s="151">
        <f>H31/F31</f>
        <v>0.26628265773283483</v>
      </c>
      <c r="J31" s="152">
        <v>14424.373</v>
      </c>
      <c r="K31" s="152">
        <v>125424.37330000001</v>
      </c>
      <c r="L31" s="150">
        <f>K31/H31</f>
        <v>1</v>
      </c>
      <c r="M31" s="152">
        <v>125424.37330000001</v>
      </c>
      <c r="N31" s="151">
        <f>M31/D31</f>
        <v>0.13314132864169781</v>
      </c>
      <c r="O31" s="148">
        <v>0</v>
      </c>
      <c r="P31" s="151">
        <f>O31/D31</f>
        <v>0</v>
      </c>
      <c r="Q31" s="152">
        <v>0</v>
      </c>
      <c r="R31" s="152">
        <v>14424.373</v>
      </c>
      <c r="S31" s="153">
        <v>108424.29629</v>
      </c>
      <c r="T31" s="152">
        <v>245168.236</v>
      </c>
      <c r="U31" s="152"/>
      <c r="V31" s="152">
        <v>213993.14989999999</v>
      </c>
      <c r="W31" s="154">
        <v>205000</v>
      </c>
      <c r="X31" s="152">
        <v>111000</v>
      </c>
      <c r="Y31" s="154">
        <v>111000</v>
      </c>
      <c r="Z31" s="152">
        <f t="shared" si="23"/>
        <v>102993.14989999999</v>
      </c>
      <c r="AA31" s="152">
        <v>819189.92299999995</v>
      </c>
      <c r="AB31" s="152">
        <v>713621.84638999996</v>
      </c>
      <c r="AC31" s="152">
        <v>719679.05599999998</v>
      </c>
      <c r="AD31" s="155"/>
      <c r="AE31" s="155"/>
      <c r="AF31" s="155"/>
      <c r="AG31" s="155"/>
      <c r="AH31" s="223" t="s">
        <v>247</v>
      </c>
      <c r="AI31" s="215">
        <v>0</v>
      </c>
      <c r="AJ31" s="215" t="s">
        <v>259</v>
      </c>
      <c r="AK31" s="216">
        <v>46748</v>
      </c>
      <c r="AL31" s="216">
        <v>46507</v>
      </c>
      <c r="AM31" s="216">
        <v>46707</v>
      </c>
      <c r="AN31" s="74">
        <f t="shared" si="9"/>
        <v>1.1641532182693481E-10</v>
      </c>
    </row>
    <row r="32" spans="1:40" ht="93" x14ac:dyDescent="0.25">
      <c r="A32" s="104">
        <v>5</v>
      </c>
      <c r="B32" s="118" t="s">
        <v>64</v>
      </c>
      <c r="C32" s="100" t="s">
        <v>65</v>
      </c>
      <c r="D32" s="148">
        <v>140749.47923999999</v>
      </c>
      <c r="E32" s="149" t="s">
        <v>22</v>
      </c>
      <c r="F32" s="152">
        <v>42224.843000000001</v>
      </c>
      <c r="G32" s="150">
        <f t="shared" si="20"/>
        <v>0.29999999451507742</v>
      </c>
      <c r="H32" s="152">
        <v>3224.8429999999998</v>
      </c>
      <c r="I32" s="151">
        <f t="shared" si="24"/>
        <v>7.6373119966366712E-2</v>
      </c>
      <c r="J32" s="152">
        <v>3224.8440000000001</v>
      </c>
      <c r="K32" s="152">
        <v>3224.8440000000001</v>
      </c>
      <c r="L32" s="150">
        <f t="shared" si="19"/>
        <v>1.0000003100926154</v>
      </c>
      <c r="M32" s="148">
        <v>3224.8438000000001</v>
      </c>
      <c r="N32" s="151">
        <f t="shared" si="14"/>
        <v>2.2911941254866987E-2</v>
      </c>
      <c r="O32" s="148">
        <v>0</v>
      </c>
      <c r="P32" s="151">
        <f t="shared" si="25"/>
        <v>0</v>
      </c>
      <c r="Q32" s="152">
        <v>0</v>
      </c>
      <c r="R32" s="152">
        <v>3224.8440000000001</v>
      </c>
      <c r="S32" s="153">
        <v>13709.07454</v>
      </c>
      <c r="T32" s="152">
        <v>70000</v>
      </c>
      <c r="U32" s="152"/>
      <c r="V32" s="152">
        <v>60749.479438000002</v>
      </c>
      <c r="W32" s="152"/>
      <c r="X32" s="152"/>
      <c r="Y32" s="152"/>
      <c r="Z32" s="152">
        <f t="shared" si="23"/>
        <v>60749.479438000002</v>
      </c>
      <c r="AA32" s="152">
        <v>123815.5609</v>
      </c>
      <c r="AB32" s="152">
        <v>76775.156000000003</v>
      </c>
      <c r="AC32" s="152">
        <v>76775.156000000003</v>
      </c>
      <c r="AD32" s="155"/>
      <c r="AE32" s="155"/>
      <c r="AF32" s="155"/>
      <c r="AG32" s="155"/>
      <c r="AH32" s="218" t="s">
        <v>247</v>
      </c>
      <c r="AI32" s="215">
        <v>0</v>
      </c>
      <c r="AJ32" s="215" t="s">
        <v>259</v>
      </c>
      <c r="AK32" s="216"/>
      <c r="AL32" s="216">
        <v>46694</v>
      </c>
      <c r="AM32" s="216">
        <v>46707</v>
      </c>
      <c r="AN32" s="74">
        <f t="shared" si="9"/>
        <v>1.999971573241055E-6</v>
      </c>
    </row>
    <row r="33" spans="1:40" ht="93" x14ac:dyDescent="0.35">
      <c r="A33" s="122">
        <v>6</v>
      </c>
      <c r="B33" s="122" t="s">
        <v>66</v>
      </c>
      <c r="C33" s="100" t="s">
        <v>67</v>
      </c>
      <c r="D33" s="148">
        <v>1513647.37307</v>
      </c>
      <c r="E33" s="149" t="s">
        <v>22</v>
      </c>
      <c r="F33" s="152">
        <v>756823.68599999999</v>
      </c>
      <c r="G33" s="150">
        <f t="shared" si="20"/>
        <v>0.49999999964654912</v>
      </c>
      <c r="H33" s="152">
        <v>34548.130600000004</v>
      </c>
      <c r="I33" s="151">
        <f t="shared" si="24"/>
        <v>4.5648849578949366E-2</v>
      </c>
      <c r="J33" s="152">
        <v>19661.918000000001</v>
      </c>
      <c r="K33" s="152">
        <v>34548.130600000004</v>
      </c>
      <c r="L33" s="150">
        <f t="shared" si="19"/>
        <v>1</v>
      </c>
      <c r="M33" s="148">
        <v>34548.130600000004</v>
      </c>
      <c r="N33" s="151">
        <f t="shared" si="14"/>
        <v>2.2824424773340055E-2</v>
      </c>
      <c r="O33" s="148">
        <v>0</v>
      </c>
      <c r="P33" s="151">
        <f t="shared" si="25"/>
        <v>0</v>
      </c>
      <c r="Q33" s="152">
        <v>0</v>
      </c>
      <c r="R33" s="152">
        <v>18661.918000000001</v>
      </c>
      <c r="S33" s="153">
        <v>106173.36391</v>
      </c>
      <c r="T33" s="152">
        <v>116803.77800000001</v>
      </c>
      <c r="U33" s="152"/>
      <c r="V33" s="152">
        <v>78661.917910000004</v>
      </c>
      <c r="W33" s="154">
        <v>268000</v>
      </c>
      <c r="X33" s="152">
        <v>15886.213599999999</v>
      </c>
      <c r="Y33" s="154">
        <v>15886.213599999999</v>
      </c>
      <c r="Z33" s="152">
        <f t="shared" si="23"/>
        <v>62775.704310000001</v>
      </c>
      <c r="AA33" s="152">
        <v>100000</v>
      </c>
      <c r="AB33" s="152">
        <v>80000</v>
      </c>
      <c r="AC33" s="152">
        <v>85000</v>
      </c>
      <c r="AD33" s="155">
        <v>1336323.5372500001</v>
      </c>
      <c r="AE33" s="155">
        <v>1684534.3</v>
      </c>
      <c r="AF33" s="155"/>
      <c r="AG33" s="155"/>
      <c r="AH33" s="223" t="s">
        <v>247</v>
      </c>
      <c r="AI33" s="221"/>
      <c r="AJ33" s="222"/>
      <c r="AK33" s="216">
        <v>47114</v>
      </c>
      <c r="AL33" s="216">
        <v>46744</v>
      </c>
      <c r="AM33" s="216">
        <v>47088</v>
      </c>
      <c r="AN33" s="74">
        <f t="shared" si="9"/>
        <v>9.0999994426965714E-4</v>
      </c>
    </row>
    <row r="34" spans="1:40" ht="51.75" customHeight="1" x14ac:dyDescent="0.35">
      <c r="A34" s="57"/>
      <c r="B34" s="66" t="s">
        <v>68</v>
      </c>
      <c r="C34" s="61"/>
      <c r="D34" s="145">
        <f>SUM(D35:D36)</f>
        <v>18443316.66993</v>
      </c>
      <c r="E34" s="146"/>
      <c r="F34" s="145">
        <f>SUM(F35:F36)</f>
        <v>6085839.2184299994</v>
      </c>
      <c r="G34" s="135">
        <f t="shared" si="13"/>
        <v>0.32997531449169104</v>
      </c>
      <c r="H34" s="145">
        <f>SUM(H35:H36)</f>
        <v>4898579.5980000002</v>
      </c>
      <c r="I34" s="136">
        <f t="shared" si="12"/>
        <v>0.80491439589225888</v>
      </c>
      <c r="J34" s="145">
        <f>SUM(J35:J36)</f>
        <v>4053318.3919099998</v>
      </c>
      <c r="K34" s="145">
        <f>SUM(K35:K36)</f>
        <v>282294.53645000001</v>
      </c>
      <c r="L34" s="135">
        <f t="shared" si="19"/>
        <v>5.7627834926935899E-2</v>
      </c>
      <c r="M34" s="145">
        <f>SUM(M35:M36)</f>
        <v>17825341.098839998</v>
      </c>
      <c r="N34" s="136">
        <f t="shared" si="14"/>
        <v>0.96649325161251776</v>
      </c>
      <c r="O34" s="145">
        <f>SUM(O35:O36)</f>
        <v>17543899.770679999</v>
      </c>
      <c r="P34" s="136">
        <f t="shared" si="25"/>
        <v>0.95123345137176918</v>
      </c>
      <c r="Q34" s="145">
        <f t="shared" ref="Q34:AG34" si="26">SUM(Q35:Q36)</f>
        <v>2207901.6480200002</v>
      </c>
      <c r="R34" s="145">
        <f t="shared" si="26"/>
        <v>1098340.689</v>
      </c>
      <c r="S34" s="145">
        <f t="shared" si="26"/>
        <v>567665.17510999995</v>
      </c>
      <c r="T34" s="145">
        <f t="shared" si="26"/>
        <v>950687.18400000001</v>
      </c>
      <c r="U34" s="145">
        <f t="shared" si="26"/>
        <v>0</v>
      </c>
      <c r="V34" s="145">
        <f t="shared" si="26"/>
        <v>601465.94738999999</v>
      </c>
      <c r="W34" s="145">
        <f t="shared" si="26"/>
        <v>0</v>
      </c>
      <c r="X34" s="145">
        <f t="shared" si="26"/>
        <v>2557.2004299999999</v>
      </c>
      <c r="Y34" s="145">
        <f t="shared" si="26"/>
        <v>0</v>
      </c>
      <c r="Z34" s="145">
        <f t="shared" si="26"/>
        <v>598908.74696000002</v>
      </c>
      <c r="AA34" s="145">
        <f t="shared" si="26"/>
        <v>0</v>
      </c>
      <c r="AB34" s="145">
        <f t="shared" si="26"/>
        <v>0</v>
      </c>
      <c r="AC34" s="145">
        <f t="shared" si="26"/>
        <v>133522.571</v>
      </c>
      <c r="AD34" s="145">
        <f t="shared" si="26"/>
        <v>0</v>
      </c>
      <c r="AE34" s="145">
        <f t="shared" si="26"/>
        <v>0</v>
      </c>
      <c r="AF34" s="145">
        <f t="shared" si="26"/>
        <v>0</v>
      </c>
      <c r="AG34" s="145">
        <f t="shared" si="26"/>
        <v>0</v>
      </c>
      <c r="AH34" s="213"/>
      <c r="AI34" s="210"/>
      <c r="AJ34" s="211"/>
      <c r="AK34" s="213"/>
      <c r="AL34" s="213"/>
      <c r="AM34" s="213"/>
      <c r="AN34" s="74">
        <f t="shared" si="9"/>
        <v>19066.824130001594</v>
      </c>
    </row>
    <row r="35" spans="1:40" ht="93" x14ac:dyDescent="0.25">
      <c r="A35" s="122">
        <v>1</v>
      </c>
      <c r="B35" s="117" t="s">
        <v>70</v>
      </c>
      <c r="C35" s="100" t="s">
        <v>71</v>
      </c>
      <c r="D35" s="148">
        <v>3262915.0566800004</v>
      </c>
      <c r="E35" s="149" t="s">
        <v>22</v>
      </c>
      <c r="F35" s="152">
        <v>1531718.7354299999</v>
      </c>
      <c r="G35" s="150">
        <f>F35/D35</f>
        <v>0.46943261127628494</v>
      </c>
      <c r="H35" s="152">
        <v>845261.20700000005</v>
      </c>
      <c r="I35" s="151">
        <f>H35/F35</f>
        <v>0.55183839398733314</v>
      </c>
      <c r="J35" s="152">
        <v>0</v>
      </c>
      <c r="K35" s="152">
        <v>0</v>
      </c>
      <c r="L35" s="150">
        <f>K35/H35</f>
        <v>0</v>
      </c>
      <c r="M35" s="148">
        <v>3043240.95945</v>
      </c>
      <c r="N35" s="151">
        <f>M35/D35</f>
        <v>0.93267550842910463</v>
      </c>
      <c r="O35" s="148">
        <v>3044094.1677399999</v>
      </c>
      <c r="P35" s="151">
        <f>O35/D35</f>
        <v>0.93293699494505089</v>
      </c>
      <c r="Q35" s="152">
        <v>810621.05802</v>
      </c>
      <c r="R35" s="152">
        <v>525632.19900000002</v>
      </c>
      <c r="S35" s="153">
        <v>188430.52538000001</v>
      </c>
      <c r="T35" s="152">
        <v>336300</v>
      </c>
      <c r="U35" s="152"/>
      <c r="V35" s="152">
        <v>222231.29766000001</v>
      </c>
      <c r="W35" s="152"/>
      <c r="X35" s="152">
        <v>2557.2004299999999</v>
      </c>
      <c r="Y35" s="152"/>
      <c r="Z35" s="152">
        <f>V35-X35</f>
        <v>219674.09723000001</v>
      </c>
      <c r="AA35" s="152"/>
      <c r="AB35" s="152"/>
      <c r="AC35" s="152">
        <v>133522.571</v>
      </c>
      <c r="AD35" s="155"/>
      <c r="AE35" s="155"/>
      <c r="AF35" s="155"/>
      <c r="AG35" s="155"/>
      <c r="AH35" s="225">
        <v>0.97</v>
      </c>
      <c r="AI35" s="215">
        <v>1</v>
      </c>
      <c r="AJ35" s="215" t="s">
        <v>259</v>
      </c>
      <c r="AK35" s="216">
        <v>46748</v>
      </c>
      <c r="AL35" s="216">
        <v>45170</v>
      </c>
      <c r="AM35" s="216">
        <v>46052</v>
      </c>
      <c r="AN35" s="74">
        <f t="shared" si="9"/>
        <v>4.0745362639427185E-10</v>
      </c>
    </row>
    <row r="36" spans="1:40" ht="93" x14ac:dyDescent="0.25">
      <c r="A36" s="122">
        <v>2</v>
      </c>
      <c r="B36" s="117" t="s">
        <v>69</v>
      </c>
      <c r="C36" s="107">
        <v>46316</v>
      </c>
      <c r="D36" s="148">
        <v>15180401.61325</v>
      </c>
      <c r="E36" s="149" t="s">
        <v>17</v>
      </c>
      <c r="F36" s="152">
        <v>4554120.483</v>
      </c>
      <c r="G36" s="150">
        <f>F36/D36</f>
        <v>0.29999999993577242</v>
      </c>
      <c r="H36" s="152">
        <v>4053318.3909999998</v>
      </c>
      <c r="I36" s="151">
        <f>H36/F36</f>
        <v>0.89003319216752474</v>
      </c>
      <c r="J36" s="152">
        <v>4053318.3919099998</v>
      </c>
      <c r="K36" s="152">
        <v>282294.53645000001</v>
      </c>
      <c r="L36" s="150">
        <f>K36/H36</f>
        <v>6.9645290406203375E-2</v>
      </c>
      <c r="M36" s="148">
        <v>14782100.139389999</v>
      </c>
      <c r="N36" s="151">
        <f>M36/D36</f>
        <v>0.97376212540303619</v>
      </c>
      <c r="O36" s="152">
        <v>14499805.602940001</v>
      </c>
      <c r="P36" s="151">
        <f>O36/D36</f>
        <v>0.95516613936511729</v>
      </c>
      <c r="Q36" s="152">
        <v>1397280.59</v>
      </c>
      <c r="R36" s="152">
        <v>572708.49</v>
      </c>
      <c r="S36" s="153">
        <v>379234.64973</v>
      </c>
      <c r="T36" s="152">
        <v>614387.18400000001</v>
      </c>
      <c r="U36" s="152"/>
      <c r="V36" s="152">
        <v>379234.64973</v>
      </c>
      <c r="W36" s="152"/>
      <c r="X36" s="152"/>
      <c r="Y36" s="152"/>
      <c r="Z36" s="152">
        <f>V36-X36</f>
        <v>379234.64973</v>
      </c>
      <c r="AA36" s="152"/>
      <c r="AB36" s="152"/>
      <c r="AC36" s="152"/>
      <c r="AD36" s="155"/>
      <c r="AE36" s="155"/>
      <c r="AF36" s="155"/>
      <c r="AG36" s="155"/>
      <c r="AH36" s="225">
        <v>0.98</v>
      </c>
      <c r="AI36" s="215">
        <v>1</v>
      </c>
      <c r="AJ36" s="215" t="s">
        <v>259</v>
      </c>
      <c r="AK36" s="216">
        <v>46383</v>
      </c>
      <c r="AL36" s="216">
        <v>44915</v>
      </c>
      <c r="AM36" s="216">
        <v>46157</v>
      </c>
      <c r="AN36" s="74">
        <f t="shared" si="9"/>
        <v>19066.824130001187</v>
      </c>
    </row>
    <row r="37" spans="1:40" ht="46.5" customHeight="1" x14ac:dyDescent="0.35">
      <c r="A37" s="57"/>
      <c r="B37" s="66" t="s">
        <v>72</v>
      </c>
      <c r="C37" s="61"/>
      <c r="D37" s="145">
        <f>SUM(D38:D39)</f>
        <v>3951124.699</v>
      </c>
      <c r="E37" s="146"/>
      <c r="F37" s="145">
        <f>SUM(F38:F39)</f>
        <v>1185337.409</v>
      </c>
      <c r="G37" s="135">
        <f t="shared" si="13"/>
        <v>0.29999999982283526</v>
      </c>
      <c r="H37" s="145">
        <f>SUM(H38:H39)</f>
        <v>1175636.81437</v>
      </c>
      <c r="I37" s="136">
        <f t="shared" si="12"/>
        <v>0.99181617440203484</v>
      </c>
      <c r="J37" s="145">
        <f>SUM(J38:J39)</f>
        <v>0</v>
      </c>
      <c r="K37" s="145">
        <f>SUM(K38:K39)</f>
        <v>40039.589999999997</v>
      </c>
      <c r="L37" s="135">
        <f>K37/H37</f>
        <v>3.4057788519880949E-2</v>
      </c>
      <c r="M37" s="145">
        <f>SUM(M38:M39)</f>
        <v>3903059.8980900003</v>
      </c>
      <c r="N37" s="136">
        <f>M37/D37</f>
        <v>0.9878351597148618</v>
      </c>
      <c r="O37" s="145">
        <f>SUM(O38:O39)</f>
        <v>3903059.8980900003</v>
      </c>
      <c r="P37" s="136">
        <f>O37/D37</f>
        <v>0.9878351597148618</v>
      </c>
      <c r="Q37" s="145">
        <f t="shared" ref="Q37:AG37" si="27">SUM(Q38:Q39)</f>
        <v>1719900.8650499999</v>
      </c>
      <c r="R37" s="145">
        <f t="shared" si="27"/>
        <v>1203915.27415</v>
      </c>
      <c r="S37" s="147">
        <f t="shared" si="27"/>
        <v>51076.038820000002</v>
      </c>
      <c r="T37" s="145">
        <f>SUM(T38:T39)</f>
        <v>354164.75199999998</v>
      </c>
      <c r="U37" s="145">
        <f>SUM(U38:U39)</f>
        <v>0</v>
      </c>
      <c r="V37" s="145">
        <f t="shared" si="27"/>
        <v>108700.74809000001</v>
      </c>
      <c r="W37" s="145">
        <f t="shared" si="27"/>
        <v>212000</v>
      </c>
      <c r="X37" s="145">
        <f t="shared" si="27"/>
        <v>60635.946540000004</v>
      </c>
      <c r="Y37" s="145">
        <f t="shared" si="27"/>
        <v>0</v>
      </c>
      <c r="Z37" s="145">
        <f t="shared" si="27"/>
        <v>48064.801550000004</v>
      </c>
      <c r="AA37" s="145">
        <f t="shared" si="27"/>
        <v>0</v>
      </c>
      <c r="AB37" s="145">
        <f t="shared" si="27"/>
        <v>0</v>
      </c>
      <c r="AC37" s="145">
        <f t="shared" si="27"/>
        <v>345522.571</v>
      </c>
      <c r="AD37" s="145">
        <f t="shared" si="27"/>
        <v>0</v>
      </c>
      <c r="AE37" s="145">
        <f t="shared" si="27"/>
        <v>0</v>
      </c>
      <c r="AF37" s="145">
        <f t="shared" si="27"/>
        <v>0</v>
      </c>
      <c r="AG37" s="145">
        <f t="shared" si="27"/>
        <v>0</v>
      </c>
      <c r="AH37" s="213"/>
      <c r="AI37" s="210"/>
      <c r="AJ37" s="211"/>
      <c r="AK37" s="213"/>
      <c r="AL37" s="213"/>
      <c r="AM37" s="213"/>
      <c r="AN37" s="74">
        <f t="shared" ref="AN37:AN68" si="28">D37-M37-Z37-AB37-AD37-AF37</f>
        <v>-6.4000024576671422E-4</v>
      </c>
    </row>
    <row r="38" spans="1:40" ht="93" x14ac:dyDescent="0.25">
      <c r="A38" s="122">
        <v>1</v>
      </c>
      <c r="B38" s="117" t="s">
        <v>70</v>
      </c>
      <c r="C38" s="108">
        <v>46166</v>
      </c>
      <c r="D38" s="148">
        <v>3770638.4380000001</v>
      </c>
      <c r="E38" s="149" t="s">
        <v>17</v>
      </c>
      <c r="F38" s="148">
        <v>1131191.531</v>
      </c>
      <c r="G38" s="150">
        <f t="shared" si="13"/>
        <v>0.29999999989391712</v>
      </c>
      <c r="H38" s="148">
        <v>1131191.531</v>
      </c>
      <c r="I38" s="151">
        <f t="shared" si="12"/>
        <v>1</v>
      </c>
      <c r="J38" s="148">
        <v>0</v>
      </c>
      <c r="K38" s="148">
        <v>40039.589999999997</v>
      </c>
      <c r="L38" s="150">
        <f t="shared" ref="L38:L39" si="29">K38/H38</f>
        <v>3.5395942157208385E-2</v>
      </c>
      <c r="M38" s="148">
        <v>3723024.2034800001</v>
      </c>
      <c r="N38" s="151">
        <f t="shared" ref="N38:N39" si="30">M38/D38</f>
        <v>0.98737236802124806</v>
      </c>
      <c r="O38" s="148">
        <v>3723024.2034800001</v>
      </c>
      <c r="P38" s="151">
        <f t="shared" ref="P38:P39" si="31">O38/D38</f>
        <v>0.98737236802124806</v>
      </c>
      <c r="Q38" s="148">
        <v>1583835.39</v>
      </c>
      <c r="R38" s="148">
        <v>1108684.773</v>
      </c>
      <c r="S38" s="153">
        <v>35852.106509999998</v>
      </c>
      <c r="T38" s="152">
        <v>336300</v>
      </c>
      <c r="U38" s="152"/>
      <c r="V38" s="152">
        <v>93425.711150000003</v>
      </c>
      <c r="W38" s="152"/>
      <c r="X38" s="152">
        <v>45811.476340000001</v>
      </c>
      <c r="Y38" s="152"/>
      <c r="Z38" s="152">
        <f>V38-X38</f>
        <v>47614.234810000002</v>
      </c>
      <c r="AA38" s="152"/>
      <c r="AB38" s="152"/>
      <c r="AC38" s="152">
        <v>133522.571</v>
      </c>
      <c r="AD38" s="156"/>
      <c r="AE38" s="156"/>
      <c r="AF38" s="156"/>
      <c r="AG38" s="156"/>
      <c r="AH38" s="225">
        <v>0.97</v>
      </c>
      <c r="AI38" s="215">
        <v>0.99</v>
      </c>
      <c r="AJ38" s="215" t="s">
        <v>259</v>
      </c>
      <c r="AK38" s="216">
        <v>46748</v>
      </c>
      <c r="AL38" s="216">
        <v>45170</v>
      </c>
      <c r="AM38" s="216">
        <v>46302</v>
      </c>
      <c r="AN38" s="74">
        <f t="shared" si="28"/>
        <v>-2.9000006179558113E-4</v>
      </c>
    </row>
    <row r="39" spans="1:40" ht="139.5" x14ac:dyDescent="0.25">
      <c r="A39" s="122">
        <v>2</v>
      </c>
      <c r="B39" s="117" t="s">
        <v>73</v>
      </c>
      <c r="C39" s="108">
        <v>46136</v>
      </c>
      <c r="D39" s="148">
        <v>180486.261</v>
      </c>
      <c r="E39" s="149" t="s">
        <v>22</v>
      </c>
      <c r="F39" s="148">
        <v>54145.877999999997</v>
      </c>
      <c r="G39" s="150">
        <f t="shared" si="13"/>
        <v>0.29999999833782359</v>
      </c>
      <c r="H39" s="148">
        <v>44445.283369999997</v>
      </c>
      <c r="I39" s="151">
        <f t="shared" si="12"/>
        <v>0.82084334046628626</v>
      </c>
      <c r="J39" s="148">
        <v>0</v>
      </c>
      <c r="K39" s="148">
        <v>0</v>
      </c>
      <c r="L39" s="150">
        <f t="shared" si="29"/>
        <v>0</v>
      </c>
      <c r="M39" s="148">
        <v>180035.69461000001</v>
      </c>
      <c r="N39" s="151">
        <f t="shared" si="30"/>
        <v>0.99750359729597371</v>
      </c>
      <c r="O39" s="148">
        <v>180035.69461000001</v>
      </c>
      <c r="P39" s="151">
        <f t="shared" si="31"/>
        <v>0.99750359729597371</v>
      </c>
      <c r="Q39" s="148">
        <v>136065.47505000001</v>
      </c>
      <c r="R39" s="148">
        <v>95230.501149999996</v>
      </c>
      <c r="S39" s="153">
        <v>15223.93231</v>
      </c>
      <c r="T39" s="152">
        <v>17864.752</v>
      </c>
      <c r="U39" s="152"/>
      <c r="V39" s="152">
        <v>15275.03694</v>
      </c>
      <c r="W39" s="154">
        <v>212000</v>
      </c>
      <c r="X39" s="152">
        <v>14824.4702</v>
      </c>
      <c r="Y39" s="152"/>
      <c r="Z39" s="152">
        <f>V39-X39</f>
        <v>450.56674000000021</v>
      </c>
      <c r="AA39" s="152"/>
      <c r="AB39" s="152"/>
      <c r="AC39" s="152">
        <v>212000</v>
      </c>
      <c r="AD39" s="156"/>
      <c r="AE39" s="156"/>
      <c r="AF39" s="156"/>
      <c r="AG39" s="156"/>
      <c r="AH39" s="225">
        <v>0.98</v>
      </c>
      <c r="AI39" s="221"/>
      <c r="AJ39" s="215" t="s">
        <v>259</v>
      </c>
      <c r="AK39" s="216">
        <v>46116</v>
      </c>
      <c r="AL39" s="216">
        <v>46116</v>
      </c>
      <c r="AM39" s="216">
        <v>46116</v>
      </c>
      <c r="AN39" s="74">
        <f t="shared" si="28"/>
        <v>-3.5000000752916094E-4</v>
      </c>
    </row>
    <row r="40" spans="1:40" ht="51.75" customHeight="1" x14ac:dyDescent="0.35">
      <c r="A40" s="57"/>
      <c r="B40" s="66" t="s">
        <v>232</v>
      </c>
      <c r="C40" s="64"/>
      <c r="D40" s="157">
        <f>D41+D49</f>
        <v>57138138.446070001</v>
      </c>
      <c r="E40" s="158"/>
      <c r="F40" s="157">
        <f>F41+F49</f>
        <v>22719415.226199999</v>
      </c>
      <c r="G40" s="135">
        <f t="shared" si="13"/>
        <v>0.39762260101707347</v>
      </c>
      <c r="H40" s="157">
        <f>H41+H49</f>
        <v>20823360.125</v>
      </c>
      <c r="I40" s="136">
        <f t="shared" si="12"/>
        <v>0.91654472255018826</v>
      </c>
      <c r="J40" s="157">
        <f>J41+J49</f>
        <v>4439433.3673100006</v>
      </c>
      <c r="K40" s="157">
        <f>K41+K49</f>
        <v>14644633.801630002</v>
      </c>
      <c r="L40" s="135">
        <f>K40/H40</f>
        <v>0.70327909202549999</v>
      </c>
      <c r="M40" s="157">
        <f>M41+M49</f>
        <v>30857231.983929999</v>
      </c>
      <c r="N40" s="136">
        <f>M40/D40</f>
        <v>0.54004615521478161</v>
      </c>
      <c r="O40" s="157">
        <f>O41+O49</f>
        <v>16212598.170469999</v>
      </c>
      <c r="P40" s="136">
        <f>O40/D40</f>
        <v>0.28374389875813522</v>
      </c>
      <c r="Q40" s="157">
        <f>Q41+Q49</f>
        <v>8440514.5329999998</v>
      </c>
      <c r="R40" s="157">
        <f>R41+R49</f>
        <v>9441521.0463100001</v>
      </c>
      <c r="S40" s="159"/>
      <c r="T40" s="157">
        <f>T41+T49</f>
        <v>7294120.443</v>
      </c>
      <c r="U40" s="157">
        <f>U41+U49</f>
        <v>531646.48499999987</v>
      </c>
      <c r="V40" s="157">
        <f t="shared" ref="V40:Z40" si="32">V41+V49</f>
        <v>6221164.9056100007</v>
      </c>
      <c r="W40" s="157">
        <f t="shared" si="32"/>
        <v>180000</v>
      </c>
      <c r="X40" s="157">
        <f t="shared" si="32"/>
        <v>2493507.4641700001</v>
      </c>
      <c r="Y40" s="157">
        <f t="shared" si="32"/>
        <v>2466744.41823</v>
      </c>
      <c r="Z40" s="157">
        <f t="shared" si="32"/>
        <v>3727657.4414400002</v>
      </c>
      <c r="AA40" s="160"/>
      <c r="AB40" s="157">
        <f t="shared" ref="AB40:AG40" si="33">AB41+AB49</f>
        <v>4195861.73587</v>
      </c>
      <c r="AC40" s="157">
        <f t="shared" si="33"/>
        <v>4507669.9819999998</v>
      </c>
      <c r="AD40" s="157">
        <f t="shared" si="33"/>
        <v>7216437.4386900002</v>
      </c>
      <c r="AE40" s="157">
        <f t="shared" si="33"/>
        <v>10387625.203</v>
      </c>
      <c r="AF40" s="157">
        <f t="shared" si="33"/>
        <v>10965947.64927</v>
      </c>
      <c r="AG40" s="157">
        <f t="shared" si="33"/>
        <v>13444040.314999999</v>
      </c>
      <c r="AH40" s="228"/>
      <c r="AI40" s="210"/>
      <c r="AJ40" s="211"/>
      <c r="AK40" s="229"/>
      <c r="AL40" s="229"/>
      <c r="AM40" s="229"/>
      <c r="AN40" s="74">
        <f t="shared" si="28"/>
        <v>175002.19687000103</v>
      </c>
    </row>
    <row r="41" spans="1:40" ht="48" customHeight="1" x14ac:dyDescent="0.35">
      <c r="A41" s="57"/>
      <c r="B41" s="66" t="s">
        <v>74</v>
      </c>
      <c r="C41" s="61"/>
      <c r="D41" s="145">
        <f>SUM(D42:D48)</f>
        <v>30212486.243249997</v>
      </c>
      <c r="E41" s="146"/>
      <c r="F41" s="145">
        <f>SUM(F42:F48)</f>
        <v>12393381.23653</v>
      </c>
      <c r="G41" s="135">
        <f t="shared" si="13"/>
        <v>0.41020726122130713</v>
      </c>
      <c r="H41" s="145">
        <f>SUM(H42:H48)</f>
        <v>12305247.01921</v>
      </c>
      <c r="I41" s="136">
        <f t="shared" si="12"/>
        <v>0.99288860597136952</v>
      </c>
      <c r="J41" s="145">
        <f>SUM(J42:J48)</f>
        <v>3589486.4060000004</v>
      </c>
      <c r="K41" s="145">
        <f>SUM(K42:K48)</f>
        <v>7273824.4840000002</v>
      </c>
      <c r="L41" s="135">
        <f>K41/H41</f>
        <v>0.59111568200497466</v>
      </c>
      <c r="M41" s="145">
        <f>SUM(M42:M48)</f>
        <v>20926376.97078</v>
      </c>
      <c r="N41" s="136">
        <f>M41/D41</f>
        <v>0.69264001652480101</v>
      </c>
      <c r="O41" s="145">
        <f>SUM(O42:O48)</f>
        <v>13652552.475289999</v>
      </c>
      <c r="P41" s="136">
        <f>O41/D41</f>
        <v>0.45188444159706387</v>
      </c>
      <c r="Q41" s="145">
        <f>SUM(Q42:Q48)</f>
        <v>7850235.4450000003</v>
      </c>
      <c r="R41" s="145">
        <f>SUM(R42:R48)</f>
        <v>8291940.625</v>
      </c>
      <c r="S41" s="147">
        <f>SUM(S44:S48)</f>
        <v>1256417.9566599999</v>
      </c>
      <c r="T41" s="145">
        <f>SUM(T42:T48)</f>
        <v>2784564.3990000002</v>
      </c>
      <c r="U41" s="145">
        <f>SUM(U42:U48)</f>
        <v>230939.74599999998</v>
      </c>
      <c r="V41" s="145">
        <f t="shared" ref="V41:Z41" si="34">SUM(V42:V48)</f>
        <v>2243642.9834099999</v>
      </c>
      <c r="W41" s="145">
        <f t="shared" si="34"/>
        <v>0</v>
      </c>
      <c r="X41" s="145">
        <f t="shared" si="34"/>
        <v>0</v>
      </c>
      <c r="Y41" s="145">
        <f t="shared" si="34"/>
        <v>0</v>
      </c>
      <c r="Z41" s="145">
        <f t="shared" si="34"/>
        <v>2243642.9834099999</v>
      </c>
      <c r="AA41" s="145">
        <f>SUM(AA44:AA48)</f>
        <v>1016247.1356299999</v>
      </c>
      <c r="AB41" s="145">
        <f t="shared" ref="AB41:AG41" si="35">SUM(AB42:AB48)</f>
        <v>1823734.6077000001</v>
      </c>
      <c r="AC41" s="145">
        <f t="shared" si="35"/>
        <v>1999065.564</v>
      </c>
      <c r="AD41" s="145">
        <f t="shared" si="35"/>
        <v>738325.29389999993</v>
      </c>
      <c r="AE41" s="145">
        <f t="shared" si="35"/>
        <v>1636153.0819999999</v>
      </c>
      <c r="AF41" s="145">
        <f t="shared" si="35"/>
        <v>4445094.5169700002</v>
      </c>
      <c r="AG41" s="145">
        <f t="shared" si="35"/>
        <v>5454325.5659999996</v>
      </c>
      <c r="AH41" s="213"/>
      <c r="AI41" s="210"/>
      <c r="AJ41" s="211"/>
      <c r="AK41" s="213"/>
      <c r="AL41" s="213"/>
      <c r="AM41" s="213"/>
      <c r="AN41" s="74">
        <f t="shared" si="28"/>
        <v>35311.870489996858</v>
      </c>
    </row>
    <row r="42" spans="1:40" ht="116.25" x14ac:dyDescent="0.25">
      <c r="A42" s="122">
        <v>1</v>
      </c>
      <c r="B42" s="117" t="s">
        <v>81</v>
      </c>
      <c r="C42" s="100" t="s">
        <v>82</v>
      </c>
      <c r="D42" s="148">
        <v>974781.62600000005</v>
      </c>
      <c r="E42" s="149" t="s">
        <v>22</v>
      </c>
      <c r="F42" s="148">
        <v>131425.08900000001</v>
      </c>
      <c r="G42" s="150">
        <f>F42/D42</f>
        <v>0.13482516031749658</v>
      </c>
      <c r="H42" s="148">
        <v>130377.75659</v>
      </c>
      <c r="I42" s="151">
        <f>H42/F42</f>
        <v>0.9920309552919534</v>
      </c>
      <c r="J42" s="152">
        <v>0</v>
      </c>
      <c r="K42" s="152">
        <v>130156.85400000001</v>
      </c>
      <c r="L42" s="150">
        <f>K42/H42</f>
        <v>0.99830567271766557</v>
      </c>
      <c r="M42" s="148">
        <v>178940.61712000001</v>
      </c>
      <c r="N42" s="151">
        <f>M42/D42</f>
        <v>0.18356995284603364</v>
      </c>
      <c r="O42" s="152">
        <v>48783.752849999997</v>
      </c>
      <c r="P42" s="151">
        <f>O42/D42</f>
        <v>5.0045827238438319E-2</v>
      </c>
      <c r="Q42" s="152">
        <v>0</v>
      </c>
      <c r="R42" s="152">
        <v>1349.4559999999999</v>
      </c>
      <c r="S42" s="153">
        <v>86529</v>
      </c>
      <c r="T42" s="152">
        <v>101000</v>
      </c>
      <c r="U42" s="152">
        <v>35804.305999999997</v>
      </c>
      <c r="V42" s="152">
        <v>50500</v>
      </c>
      <c r="W42" s="152"/>
      <c r="X42" s="152"/>
      <c r="Y42" s="152"/>
      <c r="Z42" s="152">
        <f t="shared" ref="Z42:Z48" si="36">V42-X42</f>
        <v>50500</v>
      </c>
      <c r="AA42" s="152">
        <v>688927.44041000004</v>
      </c>
      <c r="AB42" s="152">
        <v>495106.98418999999</v>
      </c>
      <c r="AC42" s="152">
        <v>495301.04200000002</v>
      </c>
      <c r="AD42" s="155">
        <v>249500</v>
      </c>
      <c r="AE42" s="155">
        <v>487000</v>
      </c>
      <c r="AF42" s="155"/>
      <c r="AG42" s="155"/>
      <c r="AH42" s="214">
        <v>0.03</v>
      </c>
      <c r="AI42" s="215">
        <v>0.92</v>
      </c>
      <c r="AJ42" s="215" t="s">
        <v>259</v>
      </c>
      <c r="AK42" s="230">
        <v>46748</v>
      </c>
      <c r="AL42" s="230">
        <v>46383</v>
      </c>
      <c r="AM42" s="230">
        <v>46417</v>
      </c>
      <c r="AN42" s="74">
        <f t="shared" si="28"/>
        <v>734.02469000010751</v>
      </c>
    </row>
    <row r="43" spans="1:40" ht="93" x14ac:dyDescent="0.25">
      <c r="A43" s="104">
        <v>2</v>
      </c>
      <c r="B43" s="119" t="s">
        <v>77</v>
      </c>
      <c r="C43" s="100" t="s">
        <v>78</v>
      </c>
      <c r="D43" s="148">
        <v>13603952.385569999</v>
      </c>
      <c r="E43" s="149" t="s">
        <v>22</v>
      </c>
      <c r="F43" s="148">
        <v>4258750.5666199997</v>
      </c>
      <c r="G43" s="150">
        <f>F43/D43</f>
        <v>0.31305244578313485</v>
      </c>
      <c r="H43" s="148">
        <v>4258750.5666199997</v>
      </c>
      <c r="I43" s="151">
        <f>H43/F43</f>
        <v>1</v>
      </c>
      <c r="J43" s="152">
        <v>1102108.7660000001</v>
      </c>
      <c r="K43" s="152">
        <v>3007541.3429999999</v>
      </c>
      <c r="L43" s="150">
        <f>K43/H43</f>
        <v>0.70620274560643392</v>
      </c>
      <c r="M43" s="148">
        <v>7757857.8685999997</v>
      </c>
      <c r="N43" s="151">
        <f>M43/D43</f>
        <v>0.57026499716574452</v>
      </c>
      <c r="O43" s="152">
        <v>4750316.5253299996</v>
      </c>
      <c r="P43" s="151">
        <f>O43/D43</f>
        <v>0.34918650041503829</v>
      </c>
      <c r="Q43" s="152">
        <v>4138760.9070000001</v>
      </c>
      <c r="R43" s="152">
        <v>4063000</v>
      </c>
      <c r="S43" s="153">
        <v>2000</v>
      </c>
      <c r="T43" s="152">
        <v>806427.21</v>
      </c>
      <c r="U43" s="152">
        <v>102000</v>
      </c>
      <c r="V43" s="152">
        <v>650000</v>
      </c>
      <c r="W43" s="152"/>
      <c r="X43" s="152"/>
      <c r="Y43" s="152"/>
      <c r="Z43" s="152">
        <f t="shared" si="36"/>
        <v>650000</v>
      </c>
      <c r="AA43" s="152">
        <v>2300000</v>
      </c>
      <c r="AB43" s="152">
        <v>570000</v>
      </c>
      <c r="AC43" s="152">
        <v>714342.30700000003</v>
      </c>
      <c r="AD43" s="155">
        <v>181000</v>
      </c>
      <c r="AE43" s="155">
        <v>181514.772</v>
      </c>
      <c r="AF43" s="155">
        <v>4445094.5169700002</v>
      </c>
      <c r="AG43" s="155">
        <v>5454325.5659999996</v>
      </c>
      <c r="AH43" s="214">
        <v>0.3</v>
      </c>
      <c r="AI43" s="215">
        <v>0.98</v>
      </c>
      <c r="AJ43" s="215" t="s">
        <v>259</v>
      </c>
      <c r="AK43" s="230">
        <v>47479</v>
      </c>
      <c r="AL43" s="230">
        <v>46418</v>
      </c>
      <c r="AM43" s="230">
        <v>46783</v>
      </c>
      <c r="AN43" s="74">
        <f t="shared" si="28"/>
        <v>0</v>
      </c>
    </row>
    <row r="44" spans="1:40" ht="116.25" x14ac:dyDescent="0.25">
      <c r="A44" s="104">
        <v>3</v>
      </c>
      <c r="B44" s="120" t="s">
        <v>75</v>
      </c>
      <c r="C44" s="100" t="s">
        <v>76</v>
      </c>
      <c r="D44" s="148">
        <v>2096949.5810099998</v>
      </c>
      <c r="E44" s="149" t="s">
        <v>22</v>
      </c>
      <c r="F44" s="148">
        <v>1012985.375</v>
      </c>
      <c r="G44" s="150">
        <f t="shared" si="13"/>
        <v>0.4830756944151674</v>
      </c>
      <c r="H44" s="148">
        <v>1012985.37463</v>
      </c>
      <c r="I44" s="151">
        <f t="shared" si="12"/>
        <v>0.99999999963474295</v>
      </c>
      <c r="J44" s="152">
        <v>823970.826</v>
      </c>
      <c r="K44" s="152">
        <v>877175.69700000004</v>
      </c>
      <c r="L44" s="150">
        <f t="shared" ref="L44:L48" si="37">K44/H44</f>
        <v>0.86593125524679426</v>
      </c>
      <c r="M44" s="148">
        <v>1559124.2871099999</v>
      </c>
      <c r="N44" s="151">
        <f t="shared" ref="N44:N48" si="38">M44/D44</f>
        <v>0.74352015958297135</v>
      </c>
      <c r="O44" s="152">
        <v>681948.59</v>
      </c>
      <c r="P44" s="151">
        <f t="shared" ref="P44:P48" si="39">O44/D44</f>
        <v>0.32520981723916226</v>
      </c>
      <c r="Q44" s="152">
        <v>447770.44400000002</v>
      </c>
      <c r="R44" s="152">
        <v>1151658.942</v>
      </c>
      <c r="S44" s="153">
        <v>40000</v>
      </c>
      <c r="T44" s="152">
        <v>300000</v>
      </c>
      <c r="U44" s="152">
        <v>93135.44</v>
      </c>
      <c r="V44" s="152">
        <v>140000</v>
      </c>
      <c r="W44" s="152"/>
      <c r="X44" s="152"/>
      <c r="Y44" s="152"/>
      <c r="Z44" s="152">
        <f t="shared" si="36"/>
        <v>140000</v>
      </c>
      <c r="AA44" s="152">
        <v>364752.05141999997</v>
      </c>
      <c r="AB44" s="152">
        <v>90000</v>
      </c>
      <c r="AC44" s="152">
        <v>100000</v>
      </c>
      <c r="AD44" s="155">
        <v>307825.29389999999</v>
      </c>
      <c r="AE44" s="155">
        <v>322448.06900000002</v>
      </c>
      <c r="AF44" s="155"/>
      <c r="AG44" s="155"/>
      <c r="AH44" s="214">
        <v>0.59</v>
      </c>
      <c r="AI44" s="215">
        <v>0.8</v>
      </c>
      <c r="AJ44" s="215" t="s">
        <v>259</v>
      </c>
      <c r="AK44" s="230">
        <v>47114</v>
      </c>
      <c r="AL44" s="230">
        <v>46418</v>
      </c>
      <c r="AM44" s="230">
        <v>46418</v>
      </c>
      <c r="AN44" s="74">
        <f t="shared" si="28"/>
        <v>-5.8207660913467407E-11</v>
      </c>
    </row>
    <row r="45" spans="1:40" ht="186" x14ac:dyDescent="0.25">
      <c r="A45" s="122">
        <v>4</v>
      </c>
      <c r="B45" s="117" t="s">
        <v>83</v>
      </c>
      <c r="C45" s="100" t="s">
        <v>84</v>
      </c>
      <c r="D45" s="148">
        <v>2622880.15258</v>
      </c>
      <c r="E45" s="149" t="s">
        <v>22</v>
      </c>
      <c r="F45" s="148">
        <v>1294081.9269999999</v>
      </c>
      <c r="G45" s="150">
        <f t="shared" si="13"/>
        <v>0.49338202728289904</v>
      </c>
      <c r="H45" s="148">
        <v>1233511.71799</v>
      </c>
      <c r="I45" s="151">
        <f t="shared" si="12"/>
        <v>0.95319445566292971</v>
      </c>
      <c r="J45" s="152">
        <v>0</v>
      </c>
      <c r="K45" s="152">
        <v>699342.66399999999</v>
      </c>
      <c r="L45" s="150">
        <f t="shared" si="37"/>
        <v>0.56695259055955682</v>
      </c>
      <c r="M45" s="148">
        <v>1873907.2548499999</v>
      </c>
      <c r="N45" s="151">
        <f t="shared" si="38"/>
        <v>0.71444638940392613</v>
      </c>
      <c r="O45" s="152">
        <v>1174564.591</v>
      </c>
      <c r="P45" s="151">
        <f t="shared" si="39"/>
        <v>0.44781481526887068</v>
      </c>
      <c r="Q45" s="152">
        <v>430869.77399999998</v>
      </c>
      <c r="R45" s="152">
        <v>0</v>
      </c>
      <c r="S45" s="153">
        <v>87540</v>
      </c>
      <c r="T45" s="152">
        <v>370000</v>
      </c>
      <c r="U45" s="152"/>
      <c r="V45" s="152">
        <v>364000</v>
      </c>
      <c r="W45" s="152"/>
      <c r="X45" s="152"/>
      <c r="Y45" s="152"/>
      <c r="Z45" s="152">
        <f t="shared" si="36"/>
        <v>364000</v>
      </c>
      <c r="AA45" s="152">
        <v>647250.21207999997</v>
      </c>
      <c r="AB45" s="152">
        <v>384972.89773000003</v>
      </c>
      <c r="AC45" s="152">
        <v>387935.19</v>
      </c>
      <c r="AD45" s="155"/>
      <c r="AE45" s="155">
        <v>30081</v>
      </c>
      <c r="AF45" s="155"/>
      <c r="AG45" s="155"/>
      <c r="AH45" s="214">
        <v>0.85</v>
      </c>
      <c r="AI45" s="215">
        <v>1</v>
      </c>
      <c r="AJ45" s="215" t="s">
        <v>259</v>
      </c>
      <c r="AK45" s="230">
        <v>47114</v>
      </c>
      <c r="AL45" s="230">
        <v>46371</v>
      </c>
      <c r="AM45" s="230">
        <v>46418</v>
      </c>
      <c r="AN45" s="74">
        <f t="shared" si="28"/>
        <v>5.8207660913467407E-11</v>
      </c>
    </row>
    <row r="46" spans="1:40" ht="69.75" x14ac:dyDescent="0.25">
      <c r="A46" s="122">
        <v>5</v>
      </c>
      <c r="B46" s="117" t="s">
        <v>87</v>
      </c>
      <c r="C46" s="100" t="s">
        <v>88</v>
      </c>
      <c r="D46" s="148">
        <v>3395898.7336500003</v>
      </c>
      <c r="E46" s="149" t="s">
        <v>17</v>
      </c>
      <c r="F46" s="148">
        <v>1018769.62</v>
      </c>
      <c r="G46" s="150">
        <f>F46/D46</f>
        <v>0.29999999997202503</v>
      </c>
      <c r="H46" s="148">
        <v>1018769.6200999999</v>
      </c>
      <c r="I46" s="151">
        <f>H46/F46</f>
        <v>1.0000000000981575</v>
      </c>
      <c r="J46" s="152">
        <v>57105.298999999999</v>
      </c>
      <c r="K46" s="152">
        <v>447025.80800000002</v>
      </c>
      <c r="L46" s="150">
        <f>K46/H46</f>
        <v>0.43878988848933387</v>
      </c>
      <c r="M46" s="152">
        <v>2682177.9044400002</v>
      </c>
      <c r="N46" s="151">
        <f>M46/D46</f>
        <v>0.7898285887804215</v>
      </c>
      <c r="O46" s="152">
        <v>2235152.0961099998</v>
      </c>
      <c r="P46" s="151">
        <f>O46/D46</f>
        <v>0.65819162213579918</v>
      </c>
      <c r="Q46" s="152">
        <v>849783.29700000002</v>
      </c>
      <c r="R46" s="152">
        <v>724607.10800000001</v>
      </c>
      <c r="S46" s="153">
        <v>679142.98340999999</v>
      </c>
      <c r="T46" s="152">
        <v>736137.18900000001</v>
      </c>
      <c r="U46" s="152"/>
      <c r="V46" s="152">
        <v>679142.98340999999</v>
      </c>
      <c r="W46" s="152"/>
      <c r="X46" s="152"/>
      <c r="Y46" s="152"/>
      <c r="Z46" s="152">
        <f t="shared" si="36"/>
        <v>679142.98340999999</v>
      </c>
      <c r="AA46" s="152"/>
      <c r="AB46" s="152"/>
      <c r="AC46" s="152"/>
      <c r="AD46" s="155"/>
      <c r="AE46" s="155"/>
      <c r="AF46" s="155"/>
      <c r="AG46" s="155"/>
      <c r="AH46" s="214">
        <v>0.85</v>
      </c>
      <c r="AI46" s="215">
        <v>1</v>
      </c>
      <c r="AJ46" s="215" t="s">
        <v>259</v>
      </c>
      <c r="AK46" s="230">
        <v>46387</v>
      </c>
      <c r="AL46" s="230">
        <v>45991</v>
      </c>
      <c r="AM46" s="230">
        <v>46387</v>
      </c>
      <c r="AN46" s="74">
        <f t="shared" si="28"/>
        <v>34577.845800000126</v>
      </c>
    </row>
    <row r="47" spans="1:40" ht="162.75" x14ac:dyDescent="0.25">
      <c r="A47" s="122">
        <v>6</v>
      </c>
      <c r="B47" s="117" t="s">
        <v>79</v>
      </c>
      <c r="C47" s="100" t="s">
        <v>80</v>
      </c>
      <c r="D47" s="148">
        <v>2688528.6548199998</v>
      </c>
      <c r="E47" s="149" t="s">
        <v>22</v>
      </c>
      <c r="F47" s="148">
        <v>1334626.79856</v>
      </c>
      <c r="G47" s="150">
        <f>F47/D47</f>
        <v>0.49641531481067841</v>
      </c>
      <c r="H47" s="148">
        <v>1320170.5052799999</v>
      </c>
      <c r="I47" s="151">
        <f>H47/F47</f>
        <v>0.98916828787223687</v>
      </c>
      <c r="J47" s="152">
        <v>634310.07700000005</v>
      </c>
      <c r="K47" s="152">
        <v>495079.57400000002</v>
      </c>
      <c r="L47" s="150">
        <f>K47/H47</f>
        <v>0.37501184280359051</v>
      </c>
      <c r="M47" s="148">
        <v>2384283.7826899998</v>
      </c>
      <c r="N47" s="151">
        <f>M47/D47</f>
        <v>0.886835919868457</v>
      </c>
      <c r="O47" s="152">
        <v>1889204.2080000001</v>
      </c>
      <c r="P47" s="151">
        <f>O47/D47</f>
        <v>0.70269074670750886</v>
      </c>
      <c r="Q47" s="152">
        <v>1149003.841</v>
      </c>
      <c r="R47" s="152">
        <v>1071000</v>
      </c>
      <c r="S47" s="153">
        <v>300000</v>
      </c>
      <c r="T47" s="152">
        <v>191000</v>
      </c>
      <c r="U47" s="152"/>
      <c r="V47" s="152">
        <v>90000</v>
      </c>
      <c r="W47" s="152"/>
      <c r="X47" s="152"/>
      <c r="Y47" s="152"/>
      <c r="Z47" s="152">
        <f t="shared" si="36"/>
        <v>90000</v>
      </c>
      <c r="AA47" s="152">
        <v>4244.8721299999997</v>
      </c>
      <c r="AB47" s="152">
        <v>214244.87213</v>
      </c>
      <c r="AC47" s="152">
        <v>214602.06299999999</v>
      </c>
      <c r="AD47" s="155"/>
      <c r="AE47" s="155">
        <v>55108.7</v>
      </c>
      <c r="AF47" s="155"/>
      <c r="AG47" s="155"/>
      <c r="AH47" s="214">
        <v>0.93</v>
      </c>
      <c r="AI47" s="215">
        <v>1</v>
      </c>
      <c r="AJ47" s="215" t="s">
        <v>259</v>
      </c>
      <c r="AK47" s="230">
        <v>47114</v>
      </c>
      <c r="AL47" s="230">
        <v>46017</v>
      </c>
      <c r="AM47" s="230">
        <v>46418</v>
      </c>
      <c r="AN47" s="74">
        <f t="shared" si="28"/>
        <v>2.9103830456733704E-11</v>
      </c>
    </row>
    <row r="48" spans="1:40" ht="162.75" x14ac:dyDescent="0.35">
      <c r="A48" s="122">
        <v>7</v>
      </c>
      <c r="B48" s="117" t="s">
        <v>85</v>
      </c>
      <c r="C48" s="100" t="s">
        <v>86</v>
      </c>
      <c r="D48" s="148">
        <v>4829495.1096199993</v>
      </c>
      <c r="E48" s="149" t="s">
        <v>22</v>
      </c>
      <c r="F48" s="148">
        <v>3342741.8603500002</v>
      </c>
      <c r="G48" s="150">
        <f t="shared" si="13"/>
        <v>0.6921514122028003</v>
      </c>
      <c r="H48" s="148">
        <v>3330681.4780000001</v>
      </c>
      <c r="I48" s="151">
        <f t="shared" si="12"/>
        <v>0.99639206889019627</v>
      </c>
      <c r="J48" s="152">
        <v>971991.43799999997</v>
      </c>
      <c r="K48" s="152">
        <v>1617502.544</v>
      </c>
      <c r="L48" s="150">
        <f t="shared" si="37"/>
        <v>0.48563711501205276</v>
      </c>
      <c r="M48" s="148">
        <v>4490085.2559700003</v>
      </c>
      <c r="N48" s="151">
        <f t="shared" si="38"/>
        <v>0.92972146240009235</v>
      </c>
      <c r="O48" s="152">
        <v>2872582.7119999998</v>
      </c>
      <c r="P48" s="151">
        <f t="shared" si="39"/>
        <v>0.59479979724547727</v>
      </c>
      <c r="Q48" s="152">
        <v>834047.18200000003</v>
      </c>
      <c r="R48" s="152">
        <v>1280325.1189999999</v>
      </c>
      <c r="S48" s="153">
        <v>149734.97325000001</v>
      </c>
      <c r="T48" s="152">
        <v>280000</v>
      </c>
      <c r="U48" s="152"/>
      <c r="V48" s="152">
        <v>270000</v>
      </c>
      <c r="W48" s="152"/>
      <c r="X48" s="152"/>
      <c r="Y48" s="152"/>
      <c r="Z48" s="152">
        <f t="shared" si="36"/>
        <v>270000</v>
      </c>
      <c r="AA48" s="152"/>
      <c r="AB48" s="152">
        <v>69409.853650000005</v>
      </c>
      <c r="AC48" s="152">
        <v>86884.962</v>
      </c>
      <c r="AD48" s="155"/>
      <c r="AE48" s="155">
        <v>560000.54099999997</v>
      </c>
      <c r="AF48" s="155"/>
      <c r="AG48" s="155"/>
      <c r="AH48" s="214">
        <v>0.95</v>
      </c>
      <c r="AI48" s="215"/>
      <c r="AJ48" s="222"/>
      <c r="AK48" s="230">
        <v>46748</v>
      </c>
      <c r="AL48" s="230">
        <v>46386</v>
      </c>
      <c r="AM48" s="230">
        <v>46387</v>
      </c>
      <c r="AN48" s="74">
        <f t="shared" si="28"/>
        <v>-9.8953023552894592E-10</v>
      </c>
    </row>
    <row r="49" spans="1:40" ht="50.25" customHeight="1" x14ac:dyDescent="0.35">
      <c r="A49" s="57"/>
      <c r="B49" s="68" t="s">
        <v>89</v>
      </c>
      <c r="C49" s="61"/>
      <c r="D49" s="145">
        <f>SUM(D50:D58)</f>
        <v>26925652.202820003</v>
      </c>
      <c r="E49" s="146"/>
      <c r="F49" s="145">
        <f>SUM(F50:F58)</f>
        <v>10326033.989669997</v>
      </c>
      <c r="G49" s="135">
        <f t="shared" si="13"/>
        <v>0.38350172214541645</v>
      </c>
      <c r="H49" s="145">
        <f>SUM(H50:H58)</f>
        <v>8518113.1057900004</v>
      </c>
      <c r="I49" s="136">
        <f t="shared" si="12"/>
        <v>0.82491623737742747</v>
      </c>
      <c r="J49" s="145">
        <f>SUM(J50:J58)</f>
        <v>849946.96130999993</v>
      </c>
      <c r="K49" s="145">
        <f>SUM(K50:K58)</f>
        <v>7370809.3176300004</v>
      </c>
      <c r="L49" s="135">
        <f>K49/H49</f>
        <v>0.86531010167261746</v>
      </c>
      <c r="M49" s="145">
        <f>SUM(M50:M58)</f>
        <v>9930855.0131500009</v>
      </c>
      <c r="N49" s="136">
        <f>M49/D49</f>
        <v>0.36882504974605268</v>
      </c>
      <c r="O49" s="145">
        <f>SUM(O50:O58)</f>
        <v>2560045.6951799998</v>
      </c>
      <c r="P49" s="136">
        <f>O49/D49</f>
        <v>9.5078316985461125E-2</v>
      </c>
      <c r="Q49" s="145">
        <f>SUM(Q50:Q58)</f>
        <v>590279.08799999999</v>
      </c>
      <c r="R49" s="145">
        <f>SUM(R50:R58)</f>
        <v>1149580.4213100001</v>
      </c>
      <c r="S49" s="147">
        <f>SUM(S54:S58)</f>
        <v>1275344.1566300001</v>
      </c>
      <c r="T49" s="145">
        <f>SUM(T50:T58)</f>
        <v>4509556.0439999998</v>
      </c>
      <c r="U49" s="145">
        <f>SUM(U50:U58)</f>
        <v>300706.73899999994</v>
      </c>
      <c r="V49" s="145">
        <f t="shared" ref="V49:Z49" si="40">SUM(V50:V58)</f>
        <v>3977521.9222000004</v>
      </c>
      <c r="W49" s="145">
        <f t="shared" si="40"/>
        <v>180000</v>
      </c>
      <c r="X49" s="145">
        <f t="shared" si="40"/>
        <v>2493507.4641700001</v>
      </c>
      <c r="Y49" s="145">
        <f t="shared" si="40"/>
        <v>2466744.41823</v>
      </c>
      <c r="Z49" s="145">
        <f t="shared" si="40"/>
        <v>1484014.4580300001</v>
      </c>
      <c r="AA49" s="145">
        <f>SUM(AA54:AA58)</f>
        <v>639527</v>
      </c>
      <c r="AB49" s="145">
        <f t="shared" ref="AB49:AG49" si="41">SUM(AB50:AB58)</f>
        <v>2372127.1281700004</v>
      </c>
      <c r="AC49" s="145">
        <f t="shared" si="41"/>
        <v>2508604.4180000001</v>
      </c>
      <c r="AD49" s="145">
        <f t="shared" si="41"/>
        <v>6478112.1447900003</v>
      </c>
      <c r="AE49" s="145">
        <f t="shared" si="41"/>
        <v>8751472.1209999993</v>
      </c>
      <c r="AF49" s="145">
        <f t="shared" si="41"/>
        <v>6520853.1322999997</v>
      </c>
      <c r="AG49" s="145">
        <f t="shared" si="41"/>
        <v>7989714.7489999998</v>
      </c>
      <c r="AH49" s="213"/>
      <c r="AI49" s="210"/>
      <c r="AJ49" s="211"/>
      <c r="AK49" s="213"/>
      <c r="AL49" s="213"/>
      <c r="AM49" s="213"/>
      <c r="AN49" s="74">
        <f t="shared" si="28"/>
        <v>139690.32638000324</v>
      </c>
    </row>
    <row r="50" spans="1:40" ht="186" x14ac:dyDescent="0.25">
      <c r="A50" s="104">
        <v>1</v>
      </c>
      <c r="B50" s="118" t="s">
        <v>237</v>
      </c>
      <c r="C50" s="109" t="s">
        <v>238</v>
      </c>
      <c r="D50" s="161">
        <v>1612157.5834900001</v>
      </c>
      <c r="E50" s="162" t="s">
        <v>22</v>
      </c>
      <c r="F50" s="161">
        <v>806078.79174999997</v>
      </c>
      <c r="G50" s="150">
        <f>F50/D50</f>
        <v>0.50000000000310141</v>
      </c>
      <c r="H50" s="148">
        <v>806078.79174999997</v>
      </c>
      <c r="I50" s="151">
        <f>H50/F50</f>
        <v>1</v>
      </c>
      <c r="J50" s="152">
        <v>806078.79174999997</v>
      </c>
      <c r="K50" s="148">
        <v>763651.95950999996</v>
      </c>
      <c r="L50" s="150">
        <f>K50/H50</f>
        <v>0.94736639560024749</v>
      </c>
      <c r="M50" s="148">
        <v>832841.83768999996</v>
      </c>
      <c r="N50" s="151">
        <f>M50/D50</f>
        <v>0.51660076298934954</v>
      </c>
      <c r="O50" s="152">
        <v>69189.87818</v>
      </c>
      <c r="P50" s="151">
        <f>O50/D50</f>
        <v>4.2917565186287615E-2</v>
      </c>
      <c r="Q50" s="152">
        <v>0</v>
      </c>
      <c r="R50" s="152">
        <v>806078.79174999997</v>
      </c>
      <c r="S50" s="153">
        <v>162426.83199999999</v>
      </c>
      <c r="T50" s="152">
        <v>347573.16800000001</v>
      </c>
      <c r="U50" s="152">
        <v>137215.47899999999</v>
      </c>
      <c r="V50" s="152">
        <v>147763.04594000001</v>
      </c>
      <c r="W50" s="152"/>
      <c r="X50" s="152">
        <v>26763.04594</v>
      </c>
      <c r="Y50" s="152"/>
      <c r="Z50" s="152">
        <f t="shared" ref="Z50:Z58" si="42">V50-X50</f>
        <v>121000.00000000001</v>
      </c>
      <c r="AA50" s="152">
        <v>46803.919000000002</v>
      </c>
      <c r="AB50" s="152">
        <v>180000</v>
      </c>
      <c r="AC50" s="152">
        <v>200000</v>
      </c>
      <c r="AD50" s="155">
        <v>338625.41931999999</v>
      </c>
      <c r="AE50" s="155">
        <v>1325446.7919999999</v>
      </c>
      <c r="AF50" s="155"/>
      <c r="AG50" s="155"/>
      <c r="AH50" s="214">
        <v>0.03</v>
      </c>
      <c r="AI50" s="215">
        <v>0.8</v>
      </c>
      <c r="AJ50" s="215" t="s">
        <v>259</v>
      </c>
      <c r="AK50" s="230">
        <v>46803</v>
      </c>
      <c r="AL50" s="230">
        <v>46568</v>
      </c>
      <c r="AM50" s="230">
        <v>46965</v>
      </c>
      <c r="AN50" s="74">
        <f t="shared" si="28"/>
        <v>139690.32648000016</v>
      </c>
    </row>
    <row r="51" spans="1:40" ht="93" x14ac:dyDescent="0.25">
      <c r="A51" s="122">
        <v>2</v>
      </c>
      <c r="B51" s="117" t="s">
        <v>98</v>
      </c>
      <c r="C51" s="100" t="s">
        <v>99</v>
      </c>
      <c r="D51" s="148">
        <v>6643557.7864100002</v>
      </c>
      <c r="E51" s="149" t="s">
        <v>22</v>
      </c>
      <c r="F51" s="148">
        <v>1993067.33592</v>
      </c>
      <c r="G51" s="150">
        <f>F51/D51</f>
        <v>0.29999999999954841</v>
      </c>
      <c r="H51" s="148">
        <v>1481093.5649999999</v>
      </c>
      <c r="I51" s="151">
        <f>H51/F51</f>
        <v>0.74312269249865914</v>
      </c>
      <c r="J51" s="152">
        <v>0</v>
      </c>
      <c r="K51" s="152">
        <v>1481093.5649999999</v>
      </c>
      <c r="L51" s="150">
        <f>K51/H51</f>
        <v>1</v>
      </c>
      <c r="M51" s="148">
        <v>1481093.5645900001</v>
      </c>
      <c r="N51" s="151">
        <f>M51/D51</f>
        <v>0.22293680768754826</v>
      </c>
      <c r="O51" s="152">
        <v>0</v>
      </c>
      <c r="P51" s="151">
        <f>O51/D51</f>
        <v>0</v>
      </c>
      <c r="Q51" s="152">
        <v>0</v>
      </c>
      <c r="R51" s="152">
        <v>0</v>
      </c>
      <c r="S51" s="153">
        <v>1000000</v>
      </c>
      <c r="T51" s="152">
        <v>428822.63900000002</v>
      </c>
      <c r="U51" s="152">
        <v>102380.4</v>
      </c>
      <c r="V51" s="152">
        <v>281844.63342000003</v>
      </c>
      <c r="W51" s="152"/>
      <c r="X51" s="152"/>
      <c r="Y51" s="152"/>
      <c r="Z51" s="152">
        <f t="shared" si="42"/>
        <v>281844.63342000003</v>
      </c>
      <c r="AA51" s="152">
        <v>2000000</v>
      </c>
      <c r="AB51" s="152">
        <v>453000</v>
      </c>
      <c r="AC51" s="152">
        <v>498000</v>
      </c>
      <c r="AD51" s="155">
        <v>1965000</v>
      </c>
      <c r="AE51" s="155">
        <v>1975000</v>
      </c>
      <c r="AF51" s="155">
        <v>2462619.5883999998</v>
      </c>
      <c r="AG51" s="155">
        <v>2539978.855</v>
      </c>
      <c r="AH51" s="214">
        <v>0.05</v>
      </c>
      <c r="AI51" s="215">
        <v>0.56000000000000005</v>
      </c>
      <c r="AJ51" s="215" t="s">
        <v>259</v>
      </c>
      <c r="AK51" s="230">
        <v>47479</v>
      </c>
      <c r="AL51" s="230">
        <v>46843</v>
      </c>
      <c r="AM51" s="230">
        <v>47012</v>
      </c>
      <c r="AN51" s="74">
        <f t="shared" si="28"/>
        <v>0</v>
      </c>
    </row>
    <row r="52" spans="1:40" ht="139.5" x14ac:dyDescent="0.25">
      <c r="A52" s="122">
        <v>3</v>
      </c>
      <c r="B52" s="117" t="s">
        <v>92</v>
      </c>
      <c r="C52" s="100" t="s">
        <v>93</v>
      </c>
      <c r="D52" s="148">
        <v>4760583.3492299998</v>
      </c>
      <c r="E52" s="149" t="s">
        <v>22</v>
      </c>
      <c r="F52" s="148">
        <v>1648452.808</v>
      </c>
      <c r="G52" s="150">
        <f>F52/D52</f>
        <v>0.34627117877615332</v>
      </c>
      <c r="H52" s="148">
        <v>1648452.808</v>
      </c>
      <c r="I52" s="151">
        <f>H52/F52</f>
        <v>1</v>
      </c>
      <c r="J52" s="152">
        <v>0</v>
      </c>
      <c r="K52" s="152">
        <v>1593274.284</v>
      </c>
      <c r="L52" s="150">
        <f>K52/H52</f>
        <v>0.96652708301249712</v>
      </c>
      <c r="M52" s="148">
        <v>1787581.3345600001</v>
      </c>
      <c r="N52" s="151">
        <f>M52/D52</f>
        <v>0.37549627922156481</v>
      </c>
      <c r="O52" s="152">
        <v>194307.05</v>
      </c>
      <c r="P52" s="151">
        <f>O52/D52</f>
        <v>4.0815806750117749E-2</v>
      </c>
      <c r="Q52" s="152">
        <v>194307.05</v>
      </c>
      <c r="R52" s="152">
        <v>139128.52600000001</v>
      </c>
      <c r="S52" s="153">
        <v>85000</v>
      </c>
      <c r="T52" s="152">
        <v>287000.35100000002</v>
      </c>
      <c r="U52" s="152">
        <v>47615.728000000003</v>
      </c>
      <c r="V52" s="152">
        <v>219493.23973</v>
      </c>
      <c r="W52" s="152"/>
      <c r="X52" s="152"/>
      <c r="Y52" s="152"/>
      <c r="Z52" s="152">
        <f t="shared" si="42"/>
        <v>219493.23973</v>
      </c>
      <c r="AA52" s="152">
        <v>500000</v>
      </c>
      <c r="AB52" s="152">
        <v>67757.483309999996</v>
      </c>
      <c r="AC52" s="152">
        <v>93604.418000000005</v>
      </c>
      <c r="AD52" s="155">
        <v>2685751.2916299999</v>
      </c>
      <c r="AE52" s="155">
        <v>2805878.216</v>
      </c>
      <c r="AF52" s="155"/>
      <c r="AG52" s="155">
        <v>1199999</v>
      </c>
      <c r="AH52" s="214">
        <v>0.05</v>
      </c>
      <c r="AI52" s="215">
        <v>0.94</v>
      </c>
      <c r="AJ52" s="215" t="s">
        <v>259</v>
      </c>
      <c r="AK52" s="230">
        <v>47114</v>
      </c>
      <c r="AL52" s="230">
        <v>47011</v>
      </c>
      <c r="AM52" s="230">
        <v>47011</v>
      </c>
      <c r="AN52" s="74">
        <f t="shared" si="28"/>
        <v>-4.6566128730773926E-10</v>
      </c>
    </row>
    <row r="53" spans="1:40" ht="255.75" x14ac:dyDescent="0.25">
      <c r="A53" s="104">
        <v>4</v>
      </c>
      <c r="B53" s="120" t="s">
        <v>96</v>
      </c>
      <c r="C53" s="100" t="s">
        <v>97</v>
      </c>
      <c r="D53" s="148">
        <v>2130462.2796200002</v>
      </c>
      <c r="E53" s="149" t="s">
        <v>22</v>
      </c>
      <c r="F53" s="148">
        <v>914599.01599999995</v>
      </c>
      <c r="G53" s="150">
        <f>F53/D53</f>
        <v>0.42929603811766731</v>
      </c>
      <c r="H53" s="148">
        <v>914599.01599999995</v>
      </c>
      <c r="I53" s="151">
        <f>H53/F53</f>
        <v>1</v>
      </c>
      <c r="J53" s="152">
        <v>0</v>
      </c>
      <c r="K53" s="152">
        <v>877332.85199999996</v>
      </c>
      <c r="L53" s="150">
        <f>K53/H53</f>
        <v>0.95925409567683162</v>
      </c>
      <c r="M53" s="148">
        <v>990726.84600000002</v>
      </c>
      <c r="N53" s="151">
        <f>M53/D53</f>
        <v>0.46502904814475804</v>
      </c>
      <c r="O53" s="152">
        <v>113393.99400000001</v>
      </c>
      <c r="P53" s="151">
        <f>O53/D53</f>
        <v>5.3225065322548455E-2</v>
      </c>
      <c r="Q53" s="152">
        <v>113393.993</v>
      </c>
      <c r="R53" s="152">
        <v>76127.828999999998</v>
      </c>
      <c r="S53" s="153">
        <v>90000</v>
      </c>
      <c r="T53" s="152">
        <v>346000</v>
      </c>
      <c r="U53" s="152">
        <v>13495.132</v>
      </c>
      <c r="V53" s="152">
        <v>286000</v>
      </c>
      <c r="W53" s="152"/>
      <c r="X53" s="152"/>
      <c r="Y53" s="152"/>
      <c r="Z53" s="152">
        <f t="shared" si="42"/>
        <v>286000</v>
      </c>
      <c r="AA53" s="152">
        <v>90000</v>
      </c>
      <c r="AB53" s="152">
        <v>150000</v>
      </c>
      <c r="AC53" s="152">
        <v>180000</v>
      </c>
      <c r="AD53" s="155">
        <v>703735.43383999995</v>
      </c>
      <c r="AE53" s="155">
        <v>1842147.1129999999</v>
      </c>
      <c r="AF53" s="155"/>
      <c r="AG53" s="155"/>
      <c r="AH53" s="214">
        <v>0.17</v>
      </c>
      <c r="AI53" s="215">
        <v>0.95</v>
      </c>
      <c r="AJ53" s="215" t="s">
        <v>259</v>
      </c>
      <c r="AK53" s="230">
        <v>46889</v>
      </c>
      <c r="AL53" s="230">
        <v>46889</v>
      </c>
      <c r="AM53" s="230">
        <v>46889</v>
      </c>
      <c r="AN53" s="74">
        <f t="shared" si="28"/>
        <v>-2.1999969612807035E-4</v>
      </c>
    </row>
    <row r="54" spans="1:40" ht="162.75" x14ac:dyDescent="0.25">
      <c r="A54" s="122">
        <v>5</v>
      </c>
      <c r="B54" s="117" t="s">
        <v>90</v>
      </c>
      <c r="C54" s="99">
        <v>46286</v>
      </c>
      <c r="D54" s="148">
        <v>1871920.4246199999</v>
      </c>
      <c r="E54" s="149" t="s">
        <v>17</v>
      </c>
      <c r="F54" s="148">
        <v>935960.21200000006</v>
      </c>
      <c r="G54" s="150">
        <f t="shared" si="13"/>
        <v>0.49999999983439469</v>
      </c>
      <c r="H54" s="148">
        <v>764137.37225000001</v>
      </c>
      <c r="I54" s="151">
        <f t="shared" si="12"/>
        <v>0.81642078632504944</v>
      </c>
      <c r="J54" s="152">
        <v>0</v>
      </c>
      <c r="K54" s="152">
        <v>74438.03</v>
      </c>
      <c r="L54" s="150">
        <f t="shared" ref="L54:L58" si="43">K54/H54</f>
        <v>9.7414460675856573E-2</v>
      </c>
      <c r="M54" s="148">
        <v>1537398.1181000001</v>
      </c>
      <c r="N54" s="151">
        <f t="shared" ref="N54:N58" si="44">M54/D54</f>
        <v>0.82129459023990936</v>
      </c>
      <c r="O54" s="152">
        <v>1462960.088</v>
      </c>
      <c r="P54" s="151">
        <f t="shared" ref="P54:P58" si="45">O54/D54</f>
        <v>0.78152899490745231</v>
      </c>
      <c r="Q54" s="152">
        <v>227875.21599999999</v>
      </c>
      <c r="R54" s="152">
        <v>58189.913</v>
      </c>
      <c r="S54" s="153">
        <v>332712.21999999997</v>
      </c>
      <c r="T54" s="250">
        <v>173764.95</v>
      </c>
      <c r="U54" s="252"/>
      <c r="V54" s="152">
        <v>74631.378670000006</v>
      </c>
      <c r="W54" s="152"/>
      <c r="X54" s="152"/>
      <c r="Y54" s="152"/>
      <c r="Z54" s="152">
        <f t="shared" si="42"/>
        <v>74631.378670000006</v>
      </c>
      <c r="AA54" s="152"/>
      <c r="AB54" s="152">
        <v>259890.92785000001</v>
      </c>
      <c r="AC54" s="250">
        <v>260000</v>
      </c>
      <c r="AD54" s="155"/>
      <c r="AE54" s="155"/>
      <c r="AF54" s="155"/>
      <c r="AG54" s="155"/>
      <c r="AH54" s="214">
        <v>0.93</v>
      </c>
      <c r="AI54" s="215">
        <v>0.95</v>
      </c>
      <c r="AJ54" s="215" t="s">
        <v>259</v>
      </c>
      <c r="AK54" s="230">
        <v>46383</v>
      </c>
      <c r="AL54" s="230">
        <v>44791</v>
      </c>
      <c r="AM54" s="230">
        <v>46053</v>
      </c>
      <c r="AN54" s="74">
        <f t="shared" si="28"/>
        <v>-1.4551915228366852E-10</v>
      </c>
    </row>
    <row r="55" spans="1:40" ht="162.75" x14ac:dyDescent="0.25">
      <c r="A55" s="122">
        <v>6</v>
      </c>
      <c r="B55" s="117" t="s">
        <v>90</v>
      </c>
      <c r="C55" s="100" t="s">
        <v>91</v>
      </c>
      <c r="D55" s="148">
        <v>880503.37</v>
      </c>
      <c r="E55" s="149" t="s">
        <v>22</v>
      </c>
      <c r="F55" s="148">
        <v>427293.174</v>
      </c>
      <c r="G55" s="150">
        <f t="shared" si="13"/>
        <v>0.48528283770225661</v>
      </c>
      <c r="H55" s="148">
        <v>393138.96500000003</v>
      </c>
      <c r="I55" s="151">
        <f t="shared" si="12"/>
        <v>0.92006844228220697</v>
      </c>
      <c r="J55" s="152">
        <v>0</v>
      </c>
      <c r="K55" s="152">
        <v>70406.039220000006</v>
      </c>
      <c r="L55" s="150">
        <f t="shared" si="43"/>
        <v>0.17908690180328476</v>
      </c>
      <c r="M55" s="148">
        <v>790600.72398000001</v>
      </c>
      <c r="N55" s="151">
        <f t="shared" si="44"/>
        <v>0.89789630672282383</v>
      </c>
      <c r="O55" s="152">
        <v>720194.68500000006</v>
      </c>
      <c r="P55" s="151">
        <f t="shared" si="45"/>
        <v>0.81793518291701717</v>
      </c>
      <c r="Q55" s="152">
        <v>54702.828999999998</v>
      </c>
      <c r="R55" s="152">
        <v>26187.191999999999</v>
      </c>
      <c r="S55" s="153">
        <v>83000</v>
      </c>
      <c r="T55" s="250"/>
      <c r="U55" s="253"/>
      <c r="V55" s="152">
        <v>89902.645510000002</v>
      </c>
      <c r="W55" s="152"/>
      <c r="X55" s="152"/>
      <c r="Y55" s="152"/>
      <c r="Z55" s="152">
        <f t="shared" si="42"/>
        <v>89902.645510000002</v>
      </c>
      <c r="AA55" s="152"/>
      <c r="AB55" s="152"/>
      <c r="AC55" s="250"/>
      <c r="AD55" s="155"/>
      <c r="AE55" s="155"/>
      <c r="AF55" s="155"/>
      <c r="AG55" s="155"/>
      <c r="AH55" s="214">
        <v>0.93</v>
      </c>
      <c r="AI55" s="215">
        <v>0.95</v>
      </c>
      <c r="AJ55" s="215" t="s">
        <v>259</v>
      </c>
      <c r="AK55" s="230">
        <v>46383</v>
      </c>
      <c r="AL55" s="230">
        <v>44791</v>
      </c>
      <c r="AM55" s="230">
        <v>46265</v>
      </c>
      <c r="AN55" s="74">
        <f t="shared" si="28"/>
        <v>5.0999998347833753E-4</v>
      </c>
    </row>
    <row r="56" spans="1:40" ht="162.75" x14ac:dyDescent="0.25">
      <c r="A56" s="104">
        <v>7</v>
      </c>
      <c r="B56" s="121" t="s">
        <v>94</v>
      </c>
      <c r="C56" s="100" t="s">
        <v>95</v>
      </c>
      <c r="D56" s="148">
        <v>4463212.1406700006</v>
      </c>
      <c r="E56" s="149" t="s">
        <v>22</v>
      </c>
      <c r="F56" s="148">
        <v>2231606.0699999998</v>
      </c>
      <c r="G56" s="150">
        <f>F56/D56</f>
        <v>0.49999999992494187</v>
      </c>
      <c r="H56" s="148">
        <v>2231606.0703400001</v>
      </c>
      <c r="I56" s="151">
        <f>H56/F56</f>
        <v>1.0000000001523568</v>
      </c>
      <c r="J56" s="152">
        <v>0</v>
      </c>
      <c r="K56" s="152">
        <v>2231606.0703400001</v>
      </c>
      <c r="L56" s="150">
        <f t="shared" si="43"/>
        <v>1</v>
      </c>
      <c r="M56" s="148">
        <v>2231606.0703400001</v>
      </c>
      <c r="N56" s="151">
        <f>M56/D56</f>
        <v>0.50000000000112022</v>
      </c>
      <c r="O56" s="152">
        <v>0</v>
      </c>
      <c r="P56" s="151">
        <f>O56/D56</f>
        <v>0</v>
      </c>
      <c r="Q56" s="152">
        <v>0</v>
      </c>
      <c r="R56" s="152">
        <v>0</v>
      </c>
      <c r="S56" s="153">
        <v>757272.87430999998</v>
      </c>
      <c r="T56" s="152">
        <v>2457263.1060000001</v>
      </c>
      <c r="U56" s="152"/>
      <c r="V56" s="152">
        <v>2433212.1406700001</v>
      </c>
      <c r="W56" s="152"/>
      <c r="X56" s="152">
        <v>2231606.0703400001</v>
      </c>
      <c r="Y56" s="152">
        <v>2231606.0703400001</v>
      </c>
      <c r="Z56" s="152">
        <f t="shared" si="42"/>
        <v>201606.07033000002</v>
      </c>
      <c r="AA56" s="152">
        <v>540027</v>
      </c>
      <c r="AB56" s="152">
        <v>690000</v>
      </c>
      <c r="AC56" s="152">
        <v>695000</v>
      </c>
      <c r="AD56" s="155">
        <v>690000</v>
      </c>
      <c r="AE56" s="155">
        <v>695000</v>
      </c>
      <c r="AF56" s="155">
        <v>650000</v>
      </c>
      <c r="AG56" s="155">
        <v>652736.89399999997</v>
      </c>
      <c r="AH56" s="218" t="s">
        <v>247</v>
      </c>
      <c r="AI56" s="215">
        <v>0</v>
      </c>
      <c r="AJ56" s="215" t="s">
        <v>260</v>
      </c>
      <c r="AK56" s="230">
        <v>47479</v>
      </c>
      <c r="AL56" s="230">
        <v>46645</v>
      </c>
      <c r="AM56" s="230">
        <v>47454</v>
      </c>
      <c r="AN56" s="74">
        <f t="shared" si="28"/>
        <v>0</v>
      </c>
    </row>
    <row r="57" spans="1:40" ht="232.5" x14ac:dyDescent="0.35">
      <c r="A57" s="122">
        <v>8</v>
      </c>
      <c r="B57" s="122" t="s">
        <v>100</v>
      </c>
      <c r="C57" s="100" t="s">
        <v>101</v>
      </c>
      <c r="D57" s="148">
        <v>3779460.7757799998</v>
      </c>
      <c r="E57" s="149" t="s">
        <v>22</v>
      </c>
      <c r="F57" s="148">
        <v>1133838.2339999999</v>
      </c>
      <c r="G57" s="150">
        <f t="shared" si="13"/>
        <v>0.30000000033496843</v>
      </c>
      <c r="H57" s="152">
        <v>43868.169560000002</v>
      </c>
      <c r="I57" s="151">
        <f t="shared" si="12"/>
        <v>3.8689972029995953E-2</v>
      </c>
      <c r="J57" s="152">
        <v>43868.169560000002</v>
      </c>
      <c r="K57" s="152">
        <v>43868.169560000002</v>
      </c>
      <c r="L57" s="150">
        <f t="shared" si="43"/>
        <v>1</v>
      </c>
      <c r="M57" s="148">
        <v>43868.17</v>
      </c>
      <c r="N57" s="151">
        <f t="shared" si="44"/>
        <v>1.1606991738377427E-2</v>
      </c>
      <c r="O57" s="152">
        <v>0</v>
      </c>
      <c r="P57" s="151">
        <f t="shared" si="45"/>
        <v>0</v>
      </c>
      <c r="Q57" s="152">
        <v>0</v>
      </c>
      <c r="R57" s="152">
        <v>43868.169560000002</v>
      </c>
      <c r="S57" s="153">
        <v>102359.06232</v>
      </c>
      <c r="T57" s="152">
        <v>169131.83</v>
      </c>
      <c r="U57" s="152"/>
      <c r="V57" s="152">
        <v>152359.06232</v>
      </c>
      <c r="W57" s="154">
        <v>180000</v>
      </c>
      <c r="X57" s="152"/>
      <c r="Y57" s="152"/>
      <c r="Z57" s="152">
        <f t="shared" si="42"/>
        <v>152359.06232</v>
      </c>
      <c r="AA57" s="152">
        <v>99500</v>
      </c>
      <c r="AB57" s="152">
        <v>90000</v>
      </c>
      <c r="AC57" s="152">
        <v>100000</v>
      </c>
      <c r="AD57" s="152">
        <v>85000</v>
      </c>
      <c r="AE57" s="152">
        <v>90000</v>
      </c>
      <c r="AF57" s="155">
        <v>3408233.5438999999</v>
      </c>
      <c r="AG57" s="155">
        <v>3597000</v>
      </c>
      <c r="AH57" s="223" t="s">
        <v>247</v>
      </c>
      <c r="AI57" s="221"/>
      <c r="AJ57" s="222"/>
      <c r="AK57" s="230">
        <v>47479</v>
      </c>
      <c r="AL57" s="230">
        <v>46744</v>
      </c>
      <c r="AM57" s="230">
        <v>47470</v>
      </c>
      <c r="AN57" s="74">
        <f t="shared" si="28"/>
        <v>-4.4000009074807167E-4</v>
      </c>
    </row>
    <row r="58" spans="1:40" ht="186" x14ac:dyDescent="0.35">
      <c r="A58" s="122">
        <v>9</v>
      </c>
      <c r="B58" s="122" t="s">
        <v>102</v>
      </c>
      <c r="C58" s="107">
        <v>46382</v>
      </c>
      <c r="D58" s="148">
        <v>783794.4929999999</v>
      </c>
      <c r="E58" s="149" t="s">
        <v>22</v>
      </c>
      <c r="F58" s="148">
        <v>235138.348</v>
      </c>
      <c r="G58" s="150">
        <f t="shared" si="13"/>
        <v>0.30000000012758449</v>
      </c>
      <c r="H58" s="148">
        <v>235138.34789</v>
      </c>
      <c r="I58" s="151">
        <f t="shared" si="12"/>
        <v>0.99999999953219032</v>
      </c>
      <c r="J58" s="152">
        <v>0</v>
      </c>
      <c r="K58" s="148">
        <v>235138.348</v>
      </c>
      <c r="L58" s="150">
        <f t="shared" si="43"/>
        <v>1.0000000004678096</v>
      </c>
      <c r="M58" s="148">
        <v>235138.34789</v>
      </c>
      <c r="N58" s="151">
        <f t="shared" si="44"/>
        <v>0.29999999998724158</v>
      </c>
      <c r="O58" s="152">
        <v>0</v>
      </c>
      <c r="P58" s="151">
        <f t="shared" si="45"/>
        <v>0</v>
      </c>
      <c r="Q58" s="152">
        <v>0</v>
      </c>
      <c r="R58" s="152">
        <v>0</v>
      </c>
      <c r="S58" s="153">
        <v>0</v>
      </c>
      <c r="T58" s="152">
        <v>300000</v>
      </c>
      <c r="U58" s="152"/>
      <c r="V58" s="152">
        <v>292315.77594000002</v>
      </c>
      <c r="W58" s="152"/>
      <c r="X58" s="152">
        <v>235138.34788999998</v>
      </c>
      <c r="Y58" s="154">
        <v>235138.34789</v>
      </c>
      <c r="Z58" s="152">
        <f t="shared" si="42"/>
        <v>57177.428050000046</v>
      </c>
      <c r="AA58" s="152">
        <v>0</v>
      </c>
      <c r="AB58" s="152">
        <v>481478.71701000002</v>
      </c>
      <c r="AC58" s="152">
        <v>482000</v>
      </c>
      <c r="AD58" s="155">
        <v>10000</v>
      </c>
      <c r="AE58" s="155">
        <v>18000</v>
      </c>
      <c r="AF58" s="155"/>
      <c r="AG58" s="155"/>
      <c r="AH58" s="218" t="s">
        <v>247</v>
      </c>
      <c r="AI58" s="221"/>
      <c r="AJ58" s="222"/>
      <c r="AK58" s="230">
        <v>47036</v>
      </c>
      <c r="AL58" s="230">
        <v>47036</v>
      </c>
      <c r="AM58" s="230">
        <v>46921</v>
      </c>
      <c r="AN58" s="74">
        <f t="shared" si="28"/>
        <v>4.9999856855720282E-5</v>
      </c>
    </row>
    <row r="59" spans="1:40" ht="51.75" customHeight="1" x14ac:dyDescent="0.35">
      <c r="A59" s="57"/>
      <c r="B59" s="66" t="s">
        <v>103</v>
      </c>
      <c r="C59" s="61"/>
      <c r="D59" s="145">
        <f>SUM(D60:D65)</f>
        <v>21008610.16313</v>
      </c>
      <c r="E59" s="146"/>
      <c r="F59" s="145">
        <f>SUM(F60:F65)</f>
        <v>5430575.14114</v>
      </c>
      <c r="G59" s="135">
        <f>F59/D59</f>
        <v>0.25849283217557295</v>
      </c>
      <c r="H59" s="145">
        <f>SUM(H60:H65)</f>
        <v>4966757.0094400002</v>
      </c>
      <c r="I59" s="136">
        <f>H59/F59</f>
        <v>0.91459134260268538</v>
      </c>
      <c r="J59" s="145">
        <f>SUM(J60:J65)</f>
        <v>2942101.7879999997</v>
      </c>
      <c r="K59" s="145">
        <f>SUM(K60:K65)</f>
        <v>4590067.0291399993</v>
      </c>
      <c r="L59" s="135">
        <f>K59/H59</f>
        <v>0.92415775936208477</v>
      </c>
      <c r="M59" s="145">
        <f>SUM(M60:M65)</f>
        <v>5227494.5465299999</v>
      </c>
      <c r="N59" s="136">
        <f>M59/D59</f>
        <v>0.24882629102729628</v>
      </c>
      <c r="O59" s="145">
        <f>SUM(O60:O65)</f>
        <v>634328.90700000001</v>
      </c>
      <c r="P59" s="136">
        <f>O59/D59</f>
        <v>3.0193758752934733E-2</v>
      </c>
      <c r="Q59" s="145">
        <f>SUM(Q60:Q65)</f>
        <v>513630.989</v>
      </c>
      <c r="R59" s="145">
        <f>SUM(R60:R65)</f>
        <v>3108120.179</v>
      </c>
      <c r="S59" s="147">
        <f t="shared" ref="S59:AA59" si="46">SUM(S60:S64)</f>
        <v>1213622.1292700002</v>
      </c>
      <c r="T59" s="145">
        <f t="shared" ref="T59:Z59" si="47">SUM(T60:T65)</f>
        <v>3129033.9040000001</v>
      </c>
      <c r="U59" s="145">
        <f t="shared" si="47"/>
        <v>502036.60800000001</v>
      </c>
      <c r="V59" s="145">
        <f t="shared" si="47"/>
        <v>1616592.3031299999</v>
      </c>
      <c r="W59" s="145">
        <f t="shared" si="47"/>
        <v>0</v>
      </c>
      <c r="X59" s="145">
        <f t="shared" si="47"/>
        <v>33091.616139999998</v>
      </c>
      <c r="Y59" s="145">
        <f t="shared" si="47"/>
        <v>33091.616139999998</v>
      </c>
      <c r="Z59" s="145">
        <f t="shared" si="47"/>
        <v>1583500.6869900001</v>
      </c>
      <c r="AA59" s="145">
        <f t="shared" si="46"/>
        <v>1284331.4837799999</v>
      </c>
      <c r="AB59" s="145">
        <f t="shared" ref="AB59:AG59" si="48">SUM(AB60:AB65)</f>
        <v>2041839.8149999999</v>
      </c>
      <c r="AC59" s="145">
        <f t="shared" si="48"/>
        <v>3015590.3930000002</v>
      </c>
      <c r="AD59" s="145">
        <f t="shared" si="48"/>
        <v>1893105.4930499999</v>
      </c>
      <c r="AE59" s="145">
        <f t="shared" si="48"/>
        <v>2314529.9720000001</v>
      </c>
      <c r="AF59" s="145">
        <f t="shared" si="48"/>
        <v>10823748.636640001</v>
      </c>
      <c r="AG59" s="145">
        <f t="shared" si="48"/>
        <v>12514516.245999999</v>
      </c>
      <c r="AH59" s="213"/>
      <c r="AI59" s="210"/>
      <c r="AJ59" s="211"/>
      <c r="AK59" s="213"/>
      <c r="AL59" s="213"/>
      <c r="AM59" s="213"/>
      <c r="AN59" s="74">
        <f t="shared" si="28"/>
        <v>-561079.01508000121</v>
      </c>
    </row>
    <row r="60" spans="1:40" ht="93" x14ac:dyDescent="0.25">
      <c r="A60" s="122">
        <v>1</v>
      </c>
      <c r="B60" s="117" t="s">
        <v>106</v>
      </c>
      <c r="C60" s="110" t="s">
        <v>107</v>
      </c>
      <c r="D60" s="148">
        <v>4567081.091</v>
      </c>
      <c r="E60" s="149" t="s">
        <v>22</v>
      </c>
      <c r="F60" s="148">
        <v>1370124.327</v>
      </c>
      <c r="G60" s="150">
        <f>F60/D60</f>
        <v>0.29999999993431253</v>
      </c>
      <c r="H60" s="148">
        <v>1297621.0365500001</v>
      </c>
      <c r="I60" s="151">
        <f>H60/F60</f>
        <v>0.9470826924088328</v>
      </c>
      <c r="J60" s="148">
        <v>1260000</v>
      </c>
      <c r="K60" s="152">
        <v>1297621.0360000001</v>
      </c>
      <c r="L60" s="150">
        <f>K60/H60</f>
        <v>0.99999999957614749</v>
      </c>
      <c r="M60" s="148">
        <v>1297621.0365500001</v>
      </c>
      <c r="N60" s="151">
        <f>M60/D60</f>
        <v>0.28412480766043841</v>
      </c>
      <c r="O60" s="148">
        <v>0</v>
      </c>
      <c r="P60" s="151">
        <f>O60/D60</f>
        <v>0</v>
      </c>
      <c r="Q60" s="148">
        <v>0</v>
      </c>
      <c r="R60" s="148">
        <v>1260000</v>
      </c>
      <c r="S60" s="153">
        <v>78000</v>
      </c>
      <c r="T60" s="152">
        <v>443263.10700000002</v>
      </c>
      <c r="U60" s="152"/>
      <c r="V60" s="152">
        <v>263765.78418999998</v>
      </c>
      <c r="W60" s="152"/>
      <c r="X60" s="152"/>
      <c r="Y60" s="152"/>
      <c r="Z60" s="152">
        <f t="shared" ref="Z60:Z65" si="49">V60-X60</f>
        <v>263765.78418999998</v>
      </c>
      <c r="AA60" s="152">
        <v>90000</v>
      </c>
      <c r="AB60" s="152">
        <v>1091839.8149999999</v>
      </c>
      <c r="AC60" s="152">
        <v>1161839.8149999999</v>
      </c>
      <c r="AD60" s="155">
        <v>1700544.172</v>
      </c>
      <c r="AE60" s="155">
        <v>1721244.172</v>
      </c>
      <c r="AF60" s="155">
        <v>602937.57114999997</v>
      </c>
      <c r="AG60" s="155">
        <v>1247902.024</v>
      </c>
      <c r="AH60" s="231">
        <v>0.01</v>
      </c>
      <c r="AI60" s="215">
        <v>0.89</v>
      </c>
      <c r="AJ60" s="215" t="s">
        <v>259</v>
      </c>
      <c r="AK60" s="216">
        <v>46955</v>
      </c>
      <c r="AL60" s="216">
        <v>46955</v>
      </c>
      <c r="AM60" s="216">
        <v>46955</v>
      </c>
      <c r="AN60" s="74">
        <f t="shared" si="28"/>
        <v>-389627.28789000027</v>
      </c>
    </row>
    <row r="61" spans="1:40" ht="186" x14ac:dyDescent="0.25">
      <c r="A61" s="104">
        <v>2</v>
      </c>
      <c r="B61" s="120" t="s">
        <v>108</v>
      </c>
      <c r="C61" s="110" t="s">
        <v>109</v>
      </c>
      <c r="D61" s="161">
        <v>1302925.3589999999</v>
      </c>
      <c r="E61" s="149" t="s">
        <v>22</v>
      </c>
      <c r="F61" s="148">
        <v>390877.60800000001</v>
      </c>
      <c r="G61" s="150">
        <f>F61/D61</f>
        <v>0.30000000023025114</v>
      </c>
      <c r="H61" s="148">
        <v>390877.60775000002</v>
      </c>
      <c r="I61" s="151">
        <f>H61/F61</f>
        <v>0.99999999936041362</v>
      </c>
      <c r="J61" s="148">
        <v>367299.44500000001</v>
      </c>
      <c r="K61" s="152">
        <v>390877.60800000001</v>
      </c>
      <c r="L61" s="150">
        <f>K61/H61</f>
        <v>1.0000000006395864</v>
      </c>
      <c r="M61" s="148">
        <v>390877.60775000002</v>
      </c>
      <c r="N61" s="151">
        <f>M61/D61</f>
        <v>0.30000000003837524</v>
      </c>
      <c r="O61" s="148">
        <v>0</v>
      </c>
      <c r="P61" s="151">
        <f>O61/D61</f>
        <v>0</v>
      </c>
      <c r="Q61" s="148">
        <v>0</v>
      </c>
      <c r="R61" s="148">
        <v>367299.44500000001</v>
      </c>
      <c r="S61" s="153">
        <v>80000</v>
      </c>
      <c r="T61" s="152">
        <v>332977.19699999999</v>
      </c>
      <c r="U61" s="152">
        <v>56036.608</v>
      </c>
      <c r="V61" s="152">
        <v>260938.15739000001</v>
      </c>
      <c r="W61" s="152"/>
      <c r="X61" s="152"/>
      <c r="Y61" s="152"/>
      <c r="Z61" s="152">
        <f t="shared" si="49"/>
        <v>260938.15739000001</v>
      </c>
      <c r="AA61" s="152">
        <v>774331.48378000001</v>
      </c>
      <c r="AB61" s="152">
        <v>790000</v>
      </c>
      <c r="AC61" s="152">
        <v>810615.88500000001</v>
      </c>
      <c r="AD61" s="155">
        <v>32561.321049999999</v>
      </c>
      <c r="AE61" s="155">
        <v>351000</v>
      </c>
      <c r="AF61" s="155"/>
      <c r="AG61" s="155"/>
      <c r="AH61" s="225">
        <v>0.01</v>
      </c>
      <c r="AI61" s="215">
        <v>0.86</v>
      </c>
      <c r="AJ61" s="215" t="s">
        <v>259</v>
      </c>
      <c r="AK61" s="216">
        <v>46748</v>
      </c>
      <c r="AL61" s="216">
        <v>46692</v>
      </c>
      <c r="AM61" s="216">
        <v>46681</v>
      </c>
      <c r="AN61" s="74">
        <f t="shared" si="28"/>
        <v>-171451.72719000009</v>
      </c>
    </row>
    <row r="62" spans="1:40" ht="116.25" x14ac:dyDescent="0.25">
      <c r="A62" s="122">
        <v>3</v>
      </c>
      <c r="B62" s="117" t="s">
        <v>104</v>
      </c>
      <c r="C62" s="110" t="s">
        <v>105</v>
      </c>
      <c r="D62" s="148">
        <v>3548732.57088</v>
      </c>
      <c r="E62" s="149" t="s">
        <v>17</v>
      </c>
      <c r="F62" s="148">
        <v>2484112.7990000001</v>
      </c>
      <c r="G62" s="150">
        <f t="shared" si="13"/>
        <v>0.69999999982641692</v>
      </c>
      <c r="H62" s="148">
        <v>2471263.0150000001</v>
      </c>
      <c r="I62" s="151">
        <f>H62/F62</f>
        <v>0.99482721396340268</v>
      </c>
      <c r="J62" s="148">
        <v>540898.60900000005</v>
      </c>
      <c r="K62" s="152">
        <v>2094573.0349999999</v>
      </c>
      <c r="L62" s="150">
        <f t="shared" ref="L62:L64" si="50">K62/H62</f>
        <v>0.84757187813940549</v>
      </c>
      <c r="M62" s="148">
        <v>2732000.5515700001</v>
      </c>
      <c r="N62" s="151">
        <f t="shared" ref="N62:N64" si="51">M62/D62</f>
        <v>0.7698524746519656</v>
      </c>
      <c r="O62" s="148">
        <v>634328.90700000001</v>
      </c>
      <c r="P62" s="151">
        <f t="shared" ref="P62:P64" si="52">O62/D62</f>
        <v>0.17874801618052097</v>
      </c>
      <c r="Q62" s="148">
        <v>513630.989</v>
      </c>
      <c r="R62" s="148">
        <v>706917</v>
      </c>
      <c r="S62" s="153">
        <v>816649.01931</v>
      </c>
      <c r="T62" s="152">
        <v>899966.223</v>
      </c>
      <c r="U62" s="152"/>
      <c r="V62" s="152">
        <v>816732.01931</v>
      </c>
      <c r="W62" s="152"/>
      <c r="X62" s="152"/>
      <c r="Y62" s="152"/>
      <c r="Z62" s="152">
        <f t="shared" si="49"/>
        <v>816732.01931</v>
      </c>
      <c r="AA62" s="152"/>
      <c r="AB62" s="152"/>
      <c r="AC62" s="152">
        <v>97432.053</v>
      </c>
      <c r="AD62" s="155"/>
      <c r="AE62" s="155">
        <v>42119</v>
      </c>
      <c r="AF62" s="155"/>
      <c r="AG62" s="155"/>
      <c r="AH62" s="228">
        <v>0.85870000000000002</v>
      </c>
      <c r="AI62" s="215">
        <v>1</v>
      </c>
      <c r="AJ62" s="215" t="s">
        <v>259</v>
      </c>
      <c r="AK62" s="216">
        <v>47114</v>
      </c>
      <c r="AL62" s="216">
        <v>45870</v>
      </c>
      <c r="AM62" s="216">
        <v>46033</v>
      </c>
      <c r="AN62" s="74">
        <f t="shared" si="28"/>
        <v>-1.1641532182693481E-10</v>
      </c>
    </row>
    <row r="63" spans="1:40" ht="209.25" x14ac:dyDescent="0.25">
      <c r="A63" s="104">
        <v>4</v>
      </c>
      <c r="B63" s="121" t="s">
        <v>110</v>
      </c>
      <c r="C63" s="110" t="s">
        <v>111</v>
      </c>
      <c r="D63" s="148">
        <v>7221793.9429299999</v>
      </c>
      <c r="E63" s="149" t="s">
        <v>22</v>
      </c>
      <c r="F63" s="148">
        <v>722179.39399999997</v>
      </c>
      <c r="G63" s="150">
        <f t="shared" si="13"/>
        <v>9.9999999959428362E-2</v>
      </c>
      <c r="H63" s="148">
        <v>722179.39399999997</v>
      </c>
      <c r="I63" s="151">
        <f t="shared" si="12"/>
        <v>1</v>
      </c>
      <c r="J63" s="148">
        <v>722179.39399999997</v>
      </c>
      <c r="K63" s="152">
        <v>722179.39399999997</v>
      </c>
      <c r="L63" s="150">
        <f t="shared" si="50"/>
        <v>1</v>
      </c>
      <c r="M63" s="148">
        <v>722179.39428999997</v>
      </c>
      <c r="N63" s="151">
        <f t="shared" si="51"/>
        <v>9.9999999999584588E-2</v>
      </c>
      <c r="O63" s="148">
        <v>0</v>
      </c>
      <c r="P63" s="151">
        <f t="shared" si="52"/>
        <v>0</v>
      </c>
      <c r="Q63" s="148">
        <v>0</v>
      </c>
      <c r="R63" s="148">
        <v>722179.39399999997</v>
      </c>
      <c r="S63" s="153">
        <v>123085.13897</v>
      </c>
      <c r="T63" s="250">
        <v>686744.87300000002</v>
      </c>
      <c r="U63" s="252">
        <v>446000</v>
      </c>
      <c r="V63" s="152">
        <v>108085.13897</v>
      </c>
      <c r="W63" s="152"/>
      <c r="X63" s="152"/>
      <c r="Y63" s="152"/>
      <c r="Z63" s="152">
        <f t="shared" si="49"/>
        <v>108085.13897</v>
      </c>
      <c r="AA63" s="152">
        <v>200000</v>
      </c>
      <c r="AB63" s="152">
        <v>80000</v>
      </c>
      <c r="AC63" s="250">
        <v>202000</v>
      </c>
      <c r="AD63" s="155">
        <v>80000</v>
      </c>
      <c r="AE63" s="251">
        <v>200000</v>
      </c>
      <c r="AF63" s="155">
        <v>6231529.40967</v>
      </c>
      <c r="AG63" s="251">
        <v>11266614.221999999</v>
      </c>
      <c r="AH63" s="223" t="s">
        <v>247</v>
      </c>
      <c r="AI63" s="215">
        <v>0.9</v>
      </c>
      <c r="AJ63" s="215" t="s">
        <v>259</v>
      </c>
      <c r="AK63" s="216">
        <v>47149</v>
      </c>
      <c r="AL63" s="216">
        <v>47149</v>
      </c>
      <c r="AM63" s="216">
        <v>47474</v>
      </c>
      <c r="AN63" s="74">
        <f t="shared" si="28"/>
        <v>0</v>
      </c>
    </row>
    <row r="64" spans="1:40" ht="209.25" x14ac:dyDescent="0.25">
      <c r="A64" s="122">
        <v>5</v>
      </c>
      <c r="B64" s="117" t="s">
        <v>112</v>
      </c>
      <c r="C64" s="110" t="s">
        <v>113</v>
      </c>
      <c r="D64" s="148">
        <v>4301893.9670399996</v>
      </c>
      <c r="E64" s="149" t="s">
        <v>22</v>
      </c>
      <c r="F64" s="148">
        <v>430189.397</v>
      </c>
      <c r="G64" s="150">
        <f t="shared" si="13"/>
        <v>0.10000000006880691</v>
      </c>
      <c r="H64" s="148">
        <v>51724.34</v>
      </c>
      <c r="I64" s="151">
        <f t="shared" si="12"/>
        <v>0.12023620377607772</v>
      </c>
      <c r="J64" s="148">
        <v>51724.34</v>
      </c>
      <c r="K64" s="152">
        <v>51724.34</v>
      </c>
      <c r="L64" s="150">
        <f t="shared" si="50"/>
        <v>1</v>
      </c>
      <c r="M64" s="148">
        <v>51724.340230000002</v>
      </c>
      <c r="N64" s="151">
        <f t="shared" si="51"/>
        <v>1.2023620439345678E-2</v>
      </c>
      <c r="O64" s="148">
        <v>0</v>
      </c>
      <c r="P64" s="151">
        <f t="shared" si="52"/>
        <v>0</v>
      </c>
      <c r="Q64" s="148">
        <v>0</v>
      </c>
      <c r="R64" s="148">
        <v>51724.34</v>
      </c>
      <c r="S64" s="153">
        <v>115887.97099</v>
      </c>
      <c r="T64" s="250"/>
      <c r="U64" s="253"/>
      <c r="V64" s="152">
        <v>100887.97099</v>
      </c>
      <c r="W64" s="152"/>
      <c r="X64" s="152"/>
      <c r="Y64" s="152"/>
      <c r="Z64" s="152">
        <f t="shared" si="49"/>
        <v>100887.97099</v>
      </c>
      <c r="AA64" s="152">
        <v>220000</v>
      </c>
      <c r="AB64" s="152">
        <v>80000</v>
      </c>
      <c r="AC64" s="250"/>
      <c r="AD64" s="155">
        <v>80000</v>
      </c>
      <c r="AE64" s="251"/>
      <c r="AF64" s="155">
        <v>3989281.65582</v>
      </c>
      <c r="AG64" s="251"/>
      <c r="AH64" s="223" t="s">
        <v>247</v>
      </c>
      <c r="AI64" s="215">
        <v>0.88</v>
      </c>
      <c r="AJ64" s="215" t="s">
        <v>259</v>
      </c>
      <c r="AK64" s="216">
        <v>47149</v>
      </c>
      <c r="AL64" s="216">
        <v>47149</v>
      </c>
      <c r="AM64" s="216">
        <v>47435</v>
      </c>
      <c r="AN64" s="74">
        <f t="shared" si="28"/>
        <v>0</v>
      </c>
    </row>
    <row r="65" spans="1:40" ht="93" x14ac:dyDescent="0.25">
      <c r="A65" s="125">
        <v>6</v>
      </c>
      <c r="B65" s="123" t="s">
        <v>279</v>
      </c>
      <c r="C65" s="111" t="s">
        <v>280</v>
      </c>
      <c r="D65" s="163">
        <v>66183.232279999997</v>
      </c>
      <c r="E65" s="164" t="s">
        <v>17</v>
      </c>
      <c r="F65" s="163">
        <v>33091.616139999998</v>
      </c>
      <c r="G65" s="165">
        <f t="shared" ref="G65" si="53">F65/D65</f>
        <v>0.5</v>
      </c>
      <c r="H65" s="163">
        <v>33091.616139999998</v>
      </c>
      <c r="I65" s="166">
        <f t="shared" ref="I65" si="54">H65/F65</f>
        <v>1</v>
      </c>
      <c r="J65" s="163">
        <v>0</v>
      </c>
      <c r="K65" s="163">
        <v>33091.616139999998</v>
      </c>
      <c r="L65" s="165">
        <v>0</v>
      </c>
      <c r="M65" s="163">
        <v>33091.616139999998</v>
      </c>
      <c r="N65" s="166">
        <f t="shared" ref="N65" si="55">M65/D65</f>
        <v>0.5</v>
      </c>
      <c r="O65" s="163">
        <v>0</v>
      </c>
      <c r="P65" s="166">
        <f t="shared" ref="P65" si="56">O65/D65</f>
        <v>0</v>
      </c>
      <c r="Q65" s="163">
        <v>0</v>
      </c>
      <c r="R65" s="163">
        <v>0</v>
      </c>
      <c r="S65" s="167">
        <v>115887.97099</v>
      </c>
      <c r="T65" s="155">
        <v>766082.50399999996</v>
      </c>
      <c r="U65" s="168"/>
      <c r="V65" s="155">
        <v>66183.232279999997</v>
      </c>
      <c r="W65" s="155"/>
      <c r="X65" s="163">
        <v>33091.616139999998</v>
      </c>
      <c r="Y65" s="163">
        <v>33091.616139999998</v>
      </c>
      <c r="Z65" s="155">
        <f t="shared" si="49"/>
        <v>33091.616139999998</v>
      </c>
      <c r="AA65" s="155"/>
      <c r="AB65" s="155"/>
      <c r="AC65" s="155">
        <v>743702.64</v>
      </c>
      <c r="AD65" s="155"/>
      <c r="AE65" s="155">
        <v>166.8</v>
      </c>
      <c r="AF65" s="155"/>
      <c r="AG65" s="155"/>
      <c r="AH65" s="232"/>
      <c r="AI65" s="233"/>
      <c r="AJ65" s="233"/>
      <c r="AK65" s="234"/>
      <c r="AL65" s="234"/>
      <c r="AM65" s="234"/>
      <c r="AN65" s="74">
        <f t="shared" ref="AN65" si="57">D65-M65-Z65-AB65-AD65-AF65</f>
        <v>0</v>
      </c>
    </row>
    <row r="66" spans="1:40" ht="49.5" customHeight="1" x14ac:dyDescent="0.35">
      <c r="A66" s="57"/>
      <c r="B66" s="66" t="s">
        <v>114</v>
      </c>
      <c r="C66" s="61"/>
      <c r="D66" s="145">
        <f>SUM(D67:D74)</f>
        <v>11014190.968630001</v>
      </c>
      <c r="E66" s="146"/>
      <c r="F66" s="145">
        <f>SUM(F67:F74)</f>
        <v>3935402.2297399999</v>
      </c>
      <c r="G66" s="135">
        <f t="shared" si="13"/>
        <v>0.35730288688007961</v>
      </c>
      <c r="H66" s="145">
        <f>SUM(H67:H74)</f>
        <v>2298714.5403199997</v>
      </c>
      <c r="I66" s="136">
        <f t="shared" si="12"/>
        <v>0.584111713651153</v>
      </c>
      <c r="J66" s="145">
        <f>SUM(J67:J74)</f>
        <v>1728101.2840000002</v>
      </c>
      <c r="K66" s="145">
        <f>SUM(K67:K74)</f>
        <v>1940771.2100400003</v>
      </c>
      <c r="L66" s="135">
        <f>K66/H66</f>
        <v>0.84428543692503433</v>
      </c>
      <c r="M66" s="145">
        <f>SUM(M67:M74)</f>
        <v>1940771.2075499999</v>
      </c>
      <c r="N66" s="136">
        <f>M66/D66</f>
        <v>0.17620642433725683</v>
      </c>
      <c r="O66" s="145">
        <f>SUM(O67:O74)</f>
        <v>0</v>
      </c>
      <c r="P66" s="136">
        <f>O66/D66</f>
        <v>0</v>
      </c>
      <c r="Q66" s="145">
        <f t="shared" ref="Q66:AG66" si="58">SUM(Q67:Q74)</f>
        <v>0</v>
      </c>
      <c r="R66" s="145">
        <f t="shared" si="58"/>
        <v>1728101.2840000002</v>
      </c>
      <c r="S66" s="147">
        <f t="shared" si="58"/>
        <v>817629.37605000008</v>
      </c>
      <c r="T66" s="145">
        <f>SUM(T67:T74)</f>
        <v>1227323.0550000002</v>
      </c>
      <c r="U66" s="145">
        <f>SUM(U67:U74)</f>
        <v>15000</v>
      </c>
      <c r="V66" s="145">
        <f t="shared" si="58"/>
        <v>1052629.3760500001</v>
      </c>
      <c r="W66" s="145">
        <f t="shared" si="58"/>
        <v>53000</v>
      </c>
      <c r="X66" s="145">
        <f t="shared" si="58"/>
        <v>212669.92548999999</v>
      </c>
      <c r="Y66" s="145">
        <f t="shared" si="58"/>
        <v>132669.92548999999</v>
      </c>
      <c r="Z66" s="145">
        <f t="shared" si="58"/>
        <v>839959.45056000003</v>
      </c>
      <c r="AA66" s="145">
        <f t="shared" si="58"/>
        <v>2088023.56458</v>
      </c>
      <c r="AB66" s="145">
        <f t="shared" si="58"/>
        <v>1648023.5651999998</v>
      </c>
      <c r="AC66" s="145">
        <f t="shared" si="58"/>
        <v>2863628.2480000001</v>
      </c>
      <c r="AD66" s="145">
        <f t="shared" si="58"/>
        <v>712000</v>
      </c>
      <c r="AE66" s="145">
        <f t="shared" si="58"/>
        <v>747000</v>
      </c>
      <c r="AF66" s="145">
        <f t="shared" si="58"/>
        <v>5873436.7429300006</v>
      </c>
      <c r="AG66" s="145">
        <f t="shared" si="58"/>
        <v>6836375.6689999998</v>
      </c>
      <c r="AH66" s="213"/>
      <c r="AI66" s="210"/>
      <c r="AJ66" s="211"/>
      <c r="AK66" s="213"/>
      <c r="AL66" s="213"/>
      <c r="AM66" s="213"/>
      <c r="AN66" s="74">
        <f t="shared" si="28"/>
        <v>2.3900000378489494E-3</v>
      </c>
    </row>
    <row r="67" spans="1:40" ht="209.25" x14ac:dyDescent="0.35">
      <c r="A67" s="122">
        <v>1</v>
      </c>
      <c r="B67" s="117" t="s">
        <v>115</v>
      </c>
      <c r="C67" s="108">
        <v>46290</v>
      </c>
      <c r="D67" s="148">
        <v>1009728.55829</v>
      </c>
      <c r="E67" s="149" t="s">
        <v>22</v>
      </c>
      <c r="F67" s="148">
        <v>504864.27899999998</v>
      </c>
      <c r="G67" s="150">
        <f t="shared" si="13"/>
        <v>0.49999999985639704</v>
      </c>
      <c r="H67" s="148">
        <v>504864.27899999998</v>
      </c>
      <c r="I67" s="151">
        <f t="shared" si="12"/>
        <v>1</v>
      </c>
      <c r="J67" s="148">
        <v>504864.27899999998</v>
      </c>
      <c r="K67" s="152">
        <v>504864.27899999998</v>
      </c>
      <c r="L67" s="150">
        <f t="shared" ref="L67:L74" si="59">K67/H67</f>
        <v>1</v>
      </c>
      <c r="M67" s="148">
        <v>504864.28</v>
      </c>
      <c r="N67" s="151">
        <f t="shared" ref="N67:N74" si="60">M67/D67</f>
        <v>0.50000000084676233</v>
      </c>
      <c r="O67" s="148">
        <v>0</v>
      </c>
      <c r="P67" s="151">
        <f t="shared" ref="P67:P74" si="61">O67/D67</f>
        <v>0</v>
      </c>
      <c r="Q67" s="148">
        <v>0</v>
      </c>
      <c r="R67" s="148">
        <v>504864.27899999998</v>
      </c>
      <c r="S67" s="153">
        <v>98246.013519999993</v>
      </c>
      <c r="T67" s="152">
        <v>316753.98599999998</v>
      </c>
      <c r="U67" s="152"/>
      <c r="V67" s="152">
        <v>298246.01351999998</v>
      </c>
      <c r="W67" s="152"/>
      <c r="X67" s="152"/>
      <c r="Y67" s="152"/>
      <c r="Z67" s="152">
        <f t="shared" ref="Z67:Z74" si="62">V67-X67</f>
        <v>298246.01351999998</v>
      </c>
      <c r="AA67" s="152">
        <v>406618.26500000001</v>
      </c>
      <c r="AB67" s="152">
        <v>206618.26561999999</v>
      </c>
      <c r="AC67" s="152">
        <v>778381.73400000005</v>
      </c>
      <c r="AD67" s="155"/>
      <c r="AE67" s="155"/>
      <c r="AF67" s="155"/>
      <c r="AG67" s="155"/>
      <c r="AH67" s="218" t="s">
        <v>247</v>
      </c>
      <c r="AI67" s="221"/>
      <c r="AJ67" s="222"/>
      <c r="AK67" s="216">
        <v>46646</v>
      </c>
      <c r="AL67" s="216">
        <v>46646</v>
      </c>
      <c r="AM67" s="216">
        <v>46730</v>
      </c>
      <c r="AN67" s="74">
        <f t="shared" si="28"/>
        <v>-8.5000004037283361E-4</v>
      </c>
    </row>
    <row r="68" spans="1:40" ht="186" x14ac:dyDescent="0.35">
      <c r="A68" s="122">
        <v>2</v>
      </c>
      <c r="B68" s="117" t="s">
        <v>116</v>
      </c>
      <c r="C68" s="113" t="s">
        <v>117</v>
      </c>
      <c r="D68" s="148">
        <v>700000</v>
      </c>
      <c r="E68" s="149" t="s">
        <v>22</v>
      </c>
      <c r="F68" s="148">
        <v>210000</v>
      </c>
      <c r="G68" s="150">
        <f t="shared" si="13"/>
        <v>0.3</v>
      </c>
      <c r="H68" s="148">
        <v>6900</v>
      </c>
      <c r="I68" s="151">
        <f t="shared" si="12"/>
        <v>3.2857142857142856E-2</v>
      </c>
      <c r="J68" s="148">
        <v>6900</v>
      </c>
      <c r="K68" s="152">
        <v>6900</v>
      </c>
      <c r="L68" s="150">
        <f t="shared" si="59"/>
        <v>1</v>
      </c>
      <c r="M68" s="148">
        <v>6900</v>
      </c>
      <c r="N68" s="151">
        <f t="shared" si="60"/>
        <v>9.8571428571428577E-3</v>
      </c>
      <c r="O68" s="148">
        <v>0</v>
      </c>
      <c r="P68" s="151">
        <f t="shared" si="61"/>
        <v>0</v>
      </c>
      <c r="Q68" s="148">
        <v>0</v>
      </c>
      <c r="R68" s="148">
        <v>6900</v>
      </c>
      <c r="S68" s="153">
        <v>106100</v>
      </c>
      <c r="T68" s="152">
        <v>16100</v>
      </c>
      <c r="U68" s="152"/>
      <c r="V68" s="152">
        <v>16100</v>
      </c>
      <c r="W68" s="152"/>
      <c r="X68" s="152"/>
      <c r="Y68" s="152"/>
      <c r="Z68" s="152">
        <f t="shared" si="62"/>
        <v>16100</v>
      </c>
      <c r="AA68" s="152">
        <v>100000</v>
      </c>
      <c r="AB68" s="152">
        <v>100000</v>
      </c>
      <c r="AC68" s="152">
        <v>100000</v>
      </c>
      <c r="AD68" s="155">
        <v>577000</v>
      </c>
      <c r="AE68" s="155">
        <v>587000</v>
      </c>
      <c r="AF68" s="155"/>
      <c r="AG68" s="155"/>
      <c r="AH68" s="218" t="s">
        <v>247</v>
      </c>
      <c r="AI68" s="221"/>
      <c r="AJ68" s="222"/>
      <c r="AK68" s="216">
        <v>46994</v>
      </c>
      <c r="AL68" s="216">
        <v>46994</v>
      </c>
      <c r="AM68" s="216">
        <v>47072</v>
      </c>
      <c r="AN68" s="74">
        <f t="shared" si="28"/>
        <v>0</v>
      </c>
    </row>
    <row r="69" spans="1:40" ht="162.75" x14ac:dyDescent="0.35">
      <c r="A69" s="122">
        <v>3</v>
      </c>
      <c r="B69" s="117" t="s">
        <v>118</v>
      </c>
      <c r="C69" s="110" t="s">
        <v>119</v>
      </c>
      <c r="D69" s="148">
        <v>4894285.2458000006</v>
      </c>
      <c r="E69" s="149" t="s">
        <v>22</v>
      </c>
      <c r="F69" s="148">
        <v>1468285.5737399999</v>
      </c>
      <c r="G69" s="150">
        <f t="shared" si="13"/>
        <v>0.29999999999999993</v>
      </c>
      <c r="H69" s="148">
        <v>34697.885000000002</v>
      </c>
      <c r="I69" s="151">
        <f t="shared" si="12"/>
        <v>2.3631564336369492E-2</v>
      </c>
      <c r="J69" s="148">
        <v>34697.885999999999</v>
      </c>
      <c r="K69" s="152">
        <v>34697.885999999999</v>
      </c>
      <c r="L69" s="150">
        <f t="shared" si="59"/>
        <v>1.0000000288202002</v>
      </c>
      <c r="M69" s="148">
        <v>34697.885750000001</v>
      </c>
      <c r="N69" s="151">
        <f t="shared" si="60"/>
        <v>7.0894694541507909E-3</v>
      </c>
      <c r="O69" s="148">
        <v>0</v>
      </c>
      <c r="P69" s="151">
        <f t="shared" si="61"/>
        <v>0</v>
      </c>
      <c r="Q69" s="148">
        <v>0</v>
      </c>
      <c r="R69" s="148">
        <v>34697.885999999999</v>
      </c>
      <c r="S69" s="153">
        <v>160961.73340999999</v>
      </c>
      <c r="T69" s="152">
        <v>85000</v>
      </c>
      <c r="U69" s="152"/>
      <c r="V69" s="152">
        <v>80961.733410000001</v>
      </c>
      <c r="W69" s="154">
        <v>41000</v>
      </c>
      <c r="X69" s="152"/>
      <c r="Y69" s="152"/>
      <c r="Z69" s="152">
        <f t="shared" si="62"/>
        <v>80961.733410000001</v>
      </c>
      <c r="AA69" s="152">
        <v>80000</v>
      </c>
      <c r="AB69" s="152">
        <v>80000</v>
      </c>
      <c r="AC69" s="152">
        <v>122272.402</v>
      </c>
      <c r="AD69" s="152">
        <v>65000</v>
      </c>
      <c r="AE69" s="152">
        <v>80000</v>
      </c>
      <c r="AF69" s="155">
        <v>4633625.6266400004</v>
      </c>
      <c r="AG69" s="155">
        <v>4678029.7120000003</v>
      </c>
      <c r="AH69" s="218" t="s">
        <v>247</v>
      </c>
      <c r="AI69" s="221"/>
      <c r="AJ69" s="222"/>
      <c r="AK69" s="216">
        <v>47392</v>
      </c>
      <c r="AL69" s="216">
        <v>47392</v>
      </c>
      <c r="AM69" s="216">
        <v>47459</v>
      </c>
      <c r="AN69" s="74">
        <f t="shared" ref="AN69:AN100" si="63">D69-M69-Z69-AB69-AD69-AF69</f>
        <v>0</v>
      </c>
    </row>
    <row r="70" spans="1:40" ht="139.5" x14ac:dyDescent="0.35">
      <c r="A70" s="104">
        <v>4</v>
      </c>
      <c r="B70" s="120" t="s">
        <v>120</v>
      </c>
      <c r="C70" s="114">
        <v>46320</v>
      </c>
      <c r="D70" s="148">
        <v>1677249.9896199999</v>
      </c>
      <c r="E70" s="149" t="s">
        <v>22</v>
      </c>
      <c r="F70" s="148">
        <v>838624.99399999995</v>
      </c>
      <c r="G70" s="150">
        <f t="shared" si="13"/>
        <v>0.49999999951706664</v>
      </c>
      <c r="H70" s="148">
        <v>838624.99399999995</v>
      </c>
      <c r="I70" s="151">
        <f t="shared" si="12"/>
        <v>1</v>
      </c>
      <c r="J70" s="148">
        <v>838624.995</v>
      </c>
      <c r="K70" s="152">
        <v>838624.995</v>
      </c>
      <c r="L70" s="150">
        <f t="shared" si="59"/>
        <v>1.0000000011924282</v>
      </c>
      <c r="M70" s="148">
        <v>838624.995</v>
      </c>
      <c r="N70" s="151">
        <f t="shared" si="60"/>
        <v>0.50000000011328072</v>
      </c>
      <c r="O70" s="148">
        <v>0</v>
      </c>
      <c r="P70" s="151">
        <f t="shared" si="61"/>
        <v>0</v>
      </c>
      <c r="Q70" s="148">
        <v>0</v>
      </c>
      <c r="R70" s="148">
        <v>838624.995</v>
      </c>
      <c r="S70" s="153">
        <v>63273.081700000002</v>
      </c>
      <c r="T70" s="152">
        <v>116726.91800000001</v>
      </c>
      <c r="U70" s="152"/>
      <c r="V70" s="152">
        <v>88273.081699999995</v>
      </c>
      <c r="W70" s="152"/>
      <c r="X70" s="152"/>
      <c r="Y70" s="152"/>
      <c r="Z70" s="152">
        <f t="shared" si="62"/>
        <v>88273.081699999995</v>
      </c>
      <c r="AA70" s="152">
        <v>775351.91310999996</v>
      </c>
      <c r="AB70" s="152">
        <v>750351.91310999996</v>
      </c>
      <c r="AC70" s="152">
        <v>844648.08700000006</v>
      </c>
      <c r="AD70" s="155"/>
      <c r="AE70" s="155"/>
      <c r="AF70" s="155"/>
      <c r="AG70" s="155"/>
      <c r="AH70" s="218" t="s">
        <v>247</v>
      </c>
      <c r="AI70" s="221"/>
      <c r="AJ70" s="222"/>
      <c r="AK70" s="216"/>
      <c r="AL70" s="216">
        <v>46546</v>
      </c>
      <c r="AM70" s="216">
        <v>46652</v>
      </c>
      <c r="AN70" s="74">
        <f t="shared" si="63"/>
        <v>-1.9000004976987839E-4</v>
      </c>
    </row>
    <row r="71" spans="1:40" ht="139.5" x14ac:dyDescent="0.35">
      <c r="A71" s="122">
        <v>5</v>
      </c>
      <c r="B71" s="117" t="s">
        <v>121</v>
      </c>
      <c r="C71" s="110" t="s">
        <v>122</v>
      </c>
      <c r="D71" s="148">
        <v>420360.32308</v>
      </c>
      <c r="E71" s="149" t="s">
        <v>22</v>
      </c>
      <c r="F71" s="148">
        <v>126108.09600000001</v>
      </c>
      <c r="G71" s="150">
        <f t="shared" si="13"/>
        <v>0.2999999978018858</v>
      </c>
      <c r="H71" s="148">
        <v>126108.09600000001</v>
      </c>
      <c r="I71" s="151">
        <f t="shared" si="12"/>
        <v>1</v>
      </c>
      <c r="J71" s="148">
        <v>126108.09699999999</v>
      </c>
      <c r="K71" s="152">
        <v>126108.09699999999</v>
      </c>
      <c r="L71" s="150">
        <f t="shared" si="59"/>
        <v>1.0000000079297049</v>
      </c>
      <c r="M71" s="148">
        <v>126108.09692</v>
      </c>
      <c r="N71" s="151">
        <f t="shared" si="60"/>
        <v>0.29999999999048432</v>
      </c>
      <c r="O71" s="148">
        <v>0</v>
      </c>
      <c r="P71" s="151">
        <f t="shared" si="61"/>
        <v>0</v>
      </c>
      <c r="Q71" s="148">
        <v>0</v>
      </c>
      <c r="R71" s="148">
        <v>126108.09699999999</v>
      </c>
      <c r="S71" s="153">
        <v>114794.45849</v>
      </c>
      <c r="T71" s="152">
        <v>125001.243</v>
      </c>
      <c r="U71" s="152">
        <v>15000</v>
      </c>
      <c r="V71" s="152">
        <v>99794.458490000005</v>
      </c>
      <c r="W71" s="152"/>
      <c r="X71" s="152"/>
      <c r="Y71" s="152"/>
      <c r="Z71" s="152">
        <f t="shared" si="62"/>
        <v>99794.458490000005</v>
      </c>
      <c r="AA71" s="152">
        <v>179457.76767</v>
      </c>
      <c r="AB71" s="152">
        <v>194457.76767</v>
      </c>
      <c r="AC71" s="152">
        <v>244962.16</v>
      </c>
      <c r="AD71" s="155"/>
      <c r="AE71" s="155"/>
      <c r="AF71" s="155"/>
      <c r="AG71" s="155"/>
      <c r="AH71" s="218" t="s">
        <v>247</v>
      </c>
      <c r="AI71" s="221"/>
      <c r="AJ71" s="222"/>
      <c r="AK71" s="216"/>
      <c r="AL71" s="216">
        <v>46646</v>
      </c>
      <c r="AM71" s="216">
        <v>46739</v>
      </c>
      <c r="AN71" s="74">
        <f t="shared" si="63"/>
        <v>2.9103830456733704E-11</v>
      </c>
    </row>
    <row r="72" spans="1:40" ht="93" x14ac:dyDescent="0.35">
      <c r="A72" s="104">
        <v>6</v>
      </c>
      <c r="B72" s="120" t="s">
        <v>123</v>
      </c>
      <c r="C72" s="110" t="s">
        <v>124</v>
      </c>
      <c r="D72" s="148">
        <v>341829.42757</v>
      </c>
      <c r="E72" s="149" t="s">
        <v>22</v>
      </c>
      <c r="F72" s="148">
        <v>102548.82799999999</v>
      </c>
      <c r="G72" s="150">
        <f t="shared" si="13"/>
        <v>0.29999999920720694</v>
      </c>
      <c r="H72" s="148">
        <v>102548.82799999999</v>
      </c>
      <c r="I72" s="151">
        <f t="shared" ref="I72:I125" si="64">H72/F72</f>
        <v>1</v>
      </c>
      <c r="J72" s="148">
        <v>102548.82799999999</v>
      </c>
      <c r="K72" s="152">
        <v>102548.82799999999</v>
      </c>
      <c r="L72" s="150">
        <f t="shared" si="59"/>
        <v>1</v>
      </c>
      <c r="M72" s="148">
        <v>102548.82827</v>
      </c>
      <c r="N72" s="151">
        <f t="shared" si="60"/>
        <v>0.29999999999707455</v>
      </c>
      <c r="O72" s="148">
        <v>0</v>
      </c>
      <c r="P72" s="151">
        <f t="shared" si="61"/>
        <v>0</v>
      </c>
      <c r="Q72" s="148">
        <v>0</v>
      </c>
      <c r="R72" s="148">
        <v>102548.82799999999</v>
      </c>
      <c r="S72" s="153">
        <v>58024.831469999997</v>
      </c>
      <c r="T72" s="152">
        <v>235320.011</v>
      </c>
      <c r="U72" s="152"/>
      <c r="V72" s="152">
        <v>198024.83147</v>
      </c>
      <c r="W72" s="152"/>
      <c r="X72" s="152"/>
      <c r="Y72" s="152"/>
      <c r="Z72" s="152">
        <f t="shared" si="62"/>
        <v>198024.83147</v>
      </c>
      <c r="AA72" s="152">
        <v>181255.76783</v>
      </c>
      <c r="AB72" s="152">
        <v>41255.767829999997</v>
      </c>
      <c r="AC72" s="152">
        <v>458487.91800000001</v>
      </c>
      <c r="AD72" s="155"/>
      <c r="AE72" s="155"/>
      <c r="AF72" s="155"/>
      <c r="AG72" s="155"/>
      <c r="AH72" s="218" t="s">
        <v>247</v>
      </c>
      <c r="AI72" s="221"/>
      <c r="AJ72" s="222"/>
      <c r="AK72" s="216"/>
      <c r="AL72" s="216">
        <v>46646</v>
      </c>
      <c r="AM72" s="216">
        <v>46763</v>
      </c>
      <c r="AN72" s="74">
        <f t="shared" si="63"/>
        <v>0</v>
      </c>
    </row>
    <row r="73" spans="1:40" ht="255.75" x14ac:dyDescent="0.35">
      <c r="A73" s="104">
        <v>7</v>
      </c>
      <c r="B73" s="120" t="s">
        <v>125</v>
      </c>
      <c r="C73" s="114">
        <v>46381</v>
      </c>
      <c r="D73" s="148">
        <v>468746.16320999997</v>
      </c>
      <c r="E73" s="149" t="s">
        <v>22</v>
      </c>
      <c r="F73" s="148">
        <v>234373.08100000001</v>
      </c>
      <c r="G73" s="150">
        <f t="shared" ref="G73:G130" si="65">F73/D73</f>
        <v>0.49999999870932282</v>
      </c>
      <c r="H73" s="148">
        <v>234373.08</v>
      </c>
      <c r="I73" s="151">
        <f t="shared" si="64"/>
        <v>0.99999999573329834</v>
      </c>
      <c r="J73" s="148">
        <v>101703.156</v>
      </c>
      <c r="K73" s="152">
        <v>234373.08160999999</v>
      </c>
      <c r="L73" s="150">
        <f t="shared" si="59"/>
        <v>1.0000000068693897</v>
      </c>
      <c r="M73" s="148">
        <v>234373.08160999999</v>
      </c>
      <c r="N73" s="151">
        <f t="shared" si="60"/>
        <v>0.5000000000106668</v>
      </c>
      <c r="O73" s="148">
        <v>0</v>
      </c>
      <c r="P73" s="151">
        <f t="shared" si="61"/>
        <v>0</v>
      </c>
      <c r="Q73" s="148">
        <v>0</v>
      </c>
      <c r="R73" s="148">
        <v>101703.156</v>
      </c>
      <c r="S73" s="153">
        <v>101703.15612</v>
      </c>
      <c r="T73" s="152">
        <v>194420.897</v>
      </c>
      <c r="U73" s="152"/>
      <c r="V73" s="152">
        <v>171703.15612</v>
      </c>
      <c r="W73" s="152"/>
      <c r="X73" s="152">
        <v>132669.92548999999</v>
      </c>
      <c r="Y73" s="152">
        <v>132669.92548999999</v>
      </c>
      <c r="Z73" s="154">
        <f t="shared" si="62"/>
        <v>39033.230630000005</v>
      </c>
      <c r="AA73" s="152">
        <v>265339.85097000003</v>
      </c>
      <c r="AB73" s="152">
        <v>195339.85097</v>
      </c>
      <c r="AC73" s="152">
        <v>203875.94699999999</v>
      </c>
      <c r="AD73" s="155"/>
      <c r="AE73" s="155"/>
      <c r="AF73" s="155"/>
      <c r="AG73" s="155"/>
      <c r="AH73" s="218" t="s">
        <v>247</v>
      </c>
      <c r="AI73" s="221"/>
      <c r="AJ73" s="222"/>
      <c r="AK73" s="216"/>
      <c r="AL73" s="216">
        <v>46546</v>
      </c>
      <c r="AM73" s="216">
        <v>46739</v>
      </c>
      <c r="AN73" s="74">
        <f t="shared" si="63"/>
        <v>-2.9103830456733704E-11</v>
      </c>
    </row>
    <row r="74" spans="1:40" ht="255.75" x14ac:dyDescent="0.35">
      <c r="A74" s="122">
        <v>8</v>
      </c>
      <c r="B74" s="122" t="s">
        <v>126</v>
      </c>
      <c r="C74" s="110" t="s">
        <v>127</v>
      </c>
      <c r="D74" s="148">
        <v>1501991.2610599999</v>
      </c>
      <c r="E74" s="149" t="s">
        <v>22</v>
      </c>
      <c r="F74" s="148">
        <v>450597.37800000003</v>
      </c>
      <c r="G74" s="150">
        <f t="shared" si="65"/>
        <v>0.29999999978828107</v>
      </c>
      <c r="H74" s="148">
        <v>450597.37832000002</v>
      </c>
      <c r="I74" s="151">
        <f t="shared" si="64"/>
        <v>1.0000000007101684</v>
      </c>
      <c r="J74" s="148">
        <v>12654.043</v>
      </c>
      <c r="K74" s="152">
        <v>92654.043430000005</v>
      </c>
      <c r="L74" s="150">
        <f t="shared" si="59"/>
        <v>0.20562490570950467</v>
      </c>
      <c r="M74" s="148">
        <v>92654.04</v>
      </c>
      <c r="N74" s="151">
        <f t="shared" si="60"/>
        <v>6.1687469429490077E-2</v>
      </c>
      <c r="O74" s="148">
        <v>0</v>
      </c>
      <c r="P74" s="151">
        <f t="shared" si="61"/>
        <v>0</v>
      </c>
      <c r="Q74" s="148">
        <v>0</v>
      </c>
      <c r="R74" s="148">
        <v>12654.043</v>
      </c>
      <c r="S74" s="153">
        <v>114526.10133999999</v>
      </c>
      <c r="T74" s="152">
        <v>138000</v>
      </c>
      <c r="U74" s="152"/>
      <c r="V74" s="152">
        <v>99526.101339999994</v>
      </c>
      <c r="W74" s="154">
        <v>12000</v>
      </c>
      <c r="X74" s="152">
        <v>80000</v>
      </c>
      <c r="Y74" s="152"/>
      <c r="Z74" s="152">
        <f t="shared" si="62"/>
        <v>19526.101339999994</v>
      </c>
      <c r="AA74" s="152">
        <v>100000</v>
      </c>
      <c r="AB74" s="152">
        <v>80000</v>
      </c>
      <c r="AC74" s="152">
        <v>111000</v>
      </c>
      <c r="AD74" s="152">
        <v>70000</v>
      </c>
      <c r="AE74" s="152">
        <v>80000</v>
      </c>
      <c r="AF74" s="155">
        <v>1239811.11629</v>
      </c>
      <c r="AG74" s="155">
        <v>2158345.9569999999</v>
      </c>
      <c r="AH74" s="218" t="s">
        <v>247</v>
      </c>
      <c r="AI74" s="221"/>
      <c r="AJ74" s="222"/>
      <c r="AK74" s="216">
        <v>47479</v>
      </c>
      <c r="AL74" s="216">
        <v>46768</v>
      </c>
      <c r="AM74" s="216">
        <v>47452</v>
      </c>
      <c r="AN74" s="74">
        <f t="shared" si="63"/>
        <v>3.4299998078495264E-3</v>
      </c>
    </row>
    <row r="75" spans="1:40" ht="46.5" customHeight="1" x14ac:dyDescent="0.35">
      <c r="A75" s="57"/>
      <c r="B75" s="66" t="s">
        <v>128</v>
      </c>
      <c r="C75" s="61"/>
      <c r="D75" s="145">
        <f>SUM(D76:D79)</f>
        <v>3941898.8685900001</v>
      </c>
      <c r="E75" s="145"/>
      <c r="F75" s="145">
        <f>SUM(F76:F79)</f>
        <v>1564261.77299</v>
      </c>
      <c r="G75" s="135">
        <f t="shared" si="65"/>
        <v>0.39682950403786732</v>
      </c>
      <c r="H75" s="145">
        <f>SUM(H76:H79)</f>
        <v>847503.10561999993</v>
      </c>
      <c r="I75" s="136">
        <f t="shared" si="64"/>
        <v>0.54179109932479175</v>
      </c>
      <c r="J75" s="145">
        <f>SUM(J76:J79)</f>
        <v>432870.50433999998</v>
      </c>
      <c r="K75" s="145">
        <f>SUM(K76:K79)</f>
        <v>715667.15989000001</v>
      </c>
      <c r="L75" s="135">
        <f>K75/H75</f>
        <v>0.84444193200501139</v>
      </c>
      <c r="M75" s="145">
        <f>SUM(M76:M79)</f>
        <v>1152588.3837100002</v>
      </c>
      <c r="N75" s="136">
        <f>M75/D75</f>
        <v>0.29239420445159114</v>
      </c>
      <c r="O75" s="145">
        <f>SUM(O76:O79)</f>
        <v>436921.22688999999</v>
      </c>
      <c r="P75" s="136">
        <f>O75/D75</f>
        <v>0.11084029333463971</v>
      </c>
      <c r="Q75" s="145">
        <f>SUM(Q76:Q79)</f>
        <v>284800.89364999998</v>
      </c>
      <c r="R75" s="145">
        <f t="shared" ref="R75:AG75" si="66">SUM(R76:R79)</f>
        <v>640805.14671</v>
      </c>
      <c r="S75" s="147">
        <f t="shared" si="66"/>
        <v>1346519.1753199999</v>
      </c>
      <c r="T75" s="145">
        <f>SUM(T76:T79)</f>
        <v>1167118.7289999998</v>
      </c>
      <c r="U75" s="145">
        <f>SUM(U76:U79)</f>
        <v>14370.8</v>
      </c>
      <c r="V75" s="145">
        <f t="shared" si="66"/>
        <v>1063046.516257718</v>
      </c>
      <c r="W75" s="145">
        <f t="shared" si="66"/>
        <v>0</v>
      </c>
      <c r="X75" s="145">
        <f t="shared" si="66"/>
        <v>389249.81466000003</v>
      </c>
      <c r="Y75" s="145">
        <f t="shared" si="66"/>
        <v>292099.17894000001</v>
      </c>
      <c r="Z75" s="145">
        <f t="shared" si="66"/>
        <v>673796.70159771794</v>
      </c>
      <c r="AA75" s="145">
        <f t="shared" si="66"/>
        <v>1679515.6926200001</v>
      </c>
      <c r="AB75" s="145">
        <f t="shared" si="66"/>
        <v>1417490.4273299999</v>
      </c>
      <c r="AC75" s="145">
        <f t="shared" si="66"/>
        <v>1757537.0279999999</v>
      </c>
      <c r="AD75" s="145">
        <f t="shared" si="66"/>
        <v>980712.17758000002</v>
      </c>
      <c r="AE75" s="145">
        <f t="shared" si="66"/>
        <v>1261351.943</v>
      </c>
      <c r="AF75" s="145">
        <f t="shared" si="66"/>
        <v>0</v>
      </c>
      <c r="AG75" s="145">
        <f t="shared" si="66"/>
        <v>0</v>
      </c>
      <c r="AH75" s="213"/>
      <c r="AI75" s="210"/>
      <c r="AJ75" s="211"/>
      <c r="AK75" s="213"/>
      <c r="AL75" s="213"/>
      <c r="AM75" s="213"/>
      <c r="AN75" s="74">
        <f t="shared" si="63"/>
        <v>-282688.82162771805</v>
      </c>
    </row>
    <row r="76" spans="1:40" ht="116.25" x14ac:dyDescent="0.35">
      <c r="A76" s="104">
        <v>1</v>
      </c>
      <c r="B76" s="120" t="s">
        <v>133</v>
      </c>
      <c r="C76" s="99">
        <v>46167</v>
      </c>
      <c r="D76" s="148">
        <v>1811942.1770000001</v>
      </c>
      <c r="E76" s="149" t="s">
        <v>22</v>
      </c>
      <c r="F76" s="152">
        <v>905971.08849999995</v>
      </c>
      <c r="G76" s="150">
        <f>F76/D76</f>
        <v>0.49999999999999994</v>
      </c>
      <c r="H76" s="148">
        <v>308712.42112999997</v>
      </c>
      <c r="I76" s="151">
        <f>H76/F76</f>
        <v>0.3407530604990161</v>
      </c>
      <c r="J76" s="152">
        <v>16613.242190000001</v>
      </c>
      <c r="K76" s="148">
        <v>308712.42112999997</v>
      </c>
      <c r="L76" s="150">
        <f>K76/H76</f>
        <v>1</v>
      </c>
      <c r="M76" s="148">
        <v>308712.42112999997</v>
      </c>
      <c r="N76" s="151">
        <f>M76/D76</f>
        <v>0.17037653024950805</v>
      </c>
      <c r="O76" s="152">
        <v>0</v>
      </c>
      <c r="P76" s="151">
        <f>O76/D76</f>
        <v>0</v>
      </c>
      <c r="Q76" s="152">
        <v>0</v>
      </c>
      <c r="R76" s="152">
        <v>16613.242190000001</v>
      </c>
      <c r="S76" s="153">
        <v>114917.845</v>
      </c>
      <c r="T76" s="152">
        <v>521119.61599999998</v>
      </c>
      <c r="U76" s="152">
        <v>4370.8</v>
      </c>
      <c r="V76" s="152">
        <v>497305.57885771798</v>
      </c>
      <c r="W76" s="152"/>
      <c r="X76" s="152">
        <v>292099.17894000001</v>
      </c>
      <c r="Y76" s="152">
        <v>292099.17894000001</v>
      </c>
      <c r="Z76" s="154">
        <f>V76-X76</f>
        <v>205206.39991771796</v>
      </c>
      <c r="AA76" s="152">
        <v>1679515.6926200001</v>
      </c>
      <c r="AB76" s="152">
        <v>600000</v>
      </c>
      <c r="AC76" s="152">
        <v>660811.16599999997</v>
      </c>
      <c r="AD76" s="169">
        <v>980712.17758000002</v>
      </c>
      <c r="AE76" s="170">
        <v>1101351.943</v>
      </c>
      <c r="AF76" s="169"/>
      <c r="AG76" s="169"/>
      <c r="AH76" s="225">
        <v>0</v>
      </c>
      <c r="AI76" s="221"/>
      <c r="AJ76" s="222"/>
      <c r="AK76" s="216">
        <v>46646</v>
      </c>
      <c r="AL76" s="216">
        <v>46646</v>
      </c>
      <c r="AM76" s="216">
        <v>46707</v>
      </c>
      <c r="AN76" s="74">
        <f t="shared" si="63"/>
        <v>-282688.82162771781</v>
      </c>
    </row>
    <row r="77" spans="1:40" ht="93" x14ac:dyDescent="0.35">
      <c r="A77" s="122">
        <v>2</v>
      </c>
      <c r="B77" s="117" t="s">
        <v>129</v>
      </c>
      <c r="C77" s="100" t="s">
        <v>130</v>
      </c>
      <c r="D77" s="148">
        <v>1621821.92062</v>
      </c>
      <c r="E77" s="149" t="s">
        <v>22</v>
      </c>
      <c r="F77" s="152">
        <v>429374.217</v>
      </c>
      <c r="G77" s="150">
        <f t="shared" si="65"/>
        <v>0.26474806607365142</v>
      </c>
      <c r="H77" s="152">
        <v>429374.217</v>
      </c>
      <c r="I77" s="151">
        <f t="shared" si="64"/>
        <v>1</v>
      </c>
      <c r="J77" s="152">
        <v>319131.84600999998</v>
      </c>
      <c r="K77" s="152">
        <v>350037.59723999997</v>
      </c>
      <c r="L77" s="150">
        <f t="shared" ref="L77:L78" si="67">K77/H77</f>
        <v>0.81522733173333506</v>
      </c>
      <c r="M77" s="148">
        <v>652721.41547000001</v>
      </c>
      <c r="N77" s="151">
        <f t="shared" ref="N77:N78" si="68">M77/D77</f>
        <v>0.40246182837414951</v>
      </c>
      <c r="O77" s="152">
        <v>302683.82123</v>
      </c>
      <c r="P77" s="151">
        <f t="shared" ref="P77:P78" si="69">O77/D77</f>
        <v>0.18663197073713753</v>
      </c>
      <c r="Q77" s="152">
        <v>270802.04715</v>
      </c>
      <c r="R77" s="152">
        <v>519058.69322999998</v>
      </c>
      <c r="S77" s="153">
        <v>931478.15885999997</v>
      </c>
      <c r="T77" s="152">
        <v>293000</v>
      </c>
      <c r="U77" s="152">
        <v>10000</v>
      </c>
      <c r="V77" s="152">
        <v>260000</v>
      </c>
      <c r="W77" s="152"/>
      <c r="X77" s="152">
        <v>23420.35125</v>
      </c>
      <c r="Y77" s="152"/>
      <c r="Z77" s="152">
        <f>V77-X77</f>
        <v>236579.64874999999</v>
      </c>
      <c r="AA77" s="152"/>
      <c r="AB77" s="152">
        <v>732520.85640000005</v>
      </c>
      <c r="AC77" s="152">
        <v>732880.03200000001</v>
      </c>
      <c r="AD77" s="169"/>
      <c r="AE77" s="170">
        <v>160000</v>
      </c>
      <c r="AF77" s="169"/>
      <c r="AG77" s="169"/>
      <c r="AH77" s="225">
        <v>0.38</v>
      </c>
      <c r="AI77" s="221"/>
      <c r="AJ77" s="222"/>
      <c r="AK77" s="216">
        <v>46748</v>
      </c>
      <c r="AL77" s="216">
        <v>46178</v>
      </c>
      <c r="AM77" s="216">
        <v>46178</v>
      </c>
      <c r="AN77" s="74">
        <f t="shared" si="63"/>
        <v>-1.1641532182693481E-10</v>
      </c>
    </row>
    <row r="78" spans="1:40" ht="69.75" x14ac:dyDescent="0.35">
      <c r="A78" s="122">
        <v>3</v>
      </c>
      <c r="B78" s="117" t="s">
        <v>134</v>
      </c>
      <c r="C78" s="100" t="s">
        <v>135</v>
      </c>
      <c r="D78" s="148">
        <v>227345.69510999997</v>
      </c>
      <c r="E78" s="149" t="s">
        <v>22</v>
      </c>
      <c r="F78" s="152">
        <v>88521.929560000004</v>
      </c>
      <c r="G78" s="150">
        <f t="shared" si="65"/>
        <v>0.3893714790472243</v>
      </c>
      <c r="H78" s="152">
        <v>88521.929560000004</v>
      </c>
      <c r="I78" s="151">
        <f t="shared" si="64"/>
        <v>1</v>
      </c>
      <c r="J78" s="152">
        <v>76230.878209999995</v>
      </c>
      <c r="K78" s="152">
        <v>36022.603519999997</v>
      </c>
      <c r="L78" s="150">
        <f t="shared" si="67"/>
        <v>0.40693423312224503</v>
      </c>
      <c r="M78" s="148">
        <v>170260.00917999999</v>
      </c>
      <c r="N78" s="151">
        <f t="shared" si="68"/>
        <v>0.74890359853799127</v>
      </c>
      <c r="O78" s="152">
        <v>134237.40565999999</v>
      </c>
      <c r="P78" s="151">
        <f t="shared" si="69"/>
        <v>0.59045501431223479</v>
      </c>
      <c r="Q78" s="152">
        <v>13998.8465</v>
      </c>
      <c r="R78" s="152">
        <v>84238.673360000001</v>
      </c>
      <c r="S78" s="153">
        <v>130815.97040000001</v>
      </c>
      <c r="T78" s="152">
        <v>103938.37</v>
      </c>
      <c r="U78" s="152"/>
      <c r="V78" s="152">
        <v>90000</v>
      </c>
      <c r="W78" s="152"/>
      <c r="X78" s="152">
        <v>73730.284469999999</v>
      </c>
      <c r="Y78" s="152"/>
      <c r="Z78" s="152">
        <f>V78-X78</f>
        <v>16269.715530000001</v>
      </c>
      <c r="AA78" s="152"/>
      <c r="AB78" s="152">
        <v>40815.970399999998</v>
      </c>
      <c r="AC78" s="152">
        <v>146639.26300000001</v>
      </c>
      <c r="AD78" s="169"/>
      <c r="AE78" s="169"/>
      <c r="AF78" s="169"/>
      <c r="AG78" s="169"/>
      <c r="AH78" s="225">
        <v>0.97</v>
      </c>
      <c r="AI78" s="221"/>
      <c r="AJ78" s="222"/>
      <c r="AK78" s="216"/>
      <c r="AL78" s="216">
        <v>45992</v>
      </c>
      <c r="AM78" s="216">
        <v>46137</v>
      </c>
      <c r="AN78" s="74">
        <f t="shared" si="63"/>
        <v>-2.1827872842550278E-11</v>
      </c>
    </row>
    <row r="79" spans="1:40" ht="116.25" x14ac:dyDescent="0.35">
      <c r="A79" s="104">
        <v>4</v>
      </c>
      <c r="B79" s="120" t="s">
        <v>131</v>
      </c>
      <c r="C79" s="100" t="s">
        <v>132</v>
      </c>
      <c r="D79" s="148">
        <v>280789.07585999998</v>
      </c>
      <c r="E79" s="149" t="s">
        <v>22</v>
      </c>
      <c r="F79" s="152">
        <v>140394.53792999999</v>
      </c>
      <c r="G79" s="150">
        <f>F79/D79</f>
        <v>0.5</v>
      </c>
      <c r="H79" s="152">
        <v>20894.537929999999</v>
      </c>
      <c r="I79" s="151">
        <f>H79/F79</f>
        <v>0.14882728514992449</v>
      </c>
      <c r="J79" s="152">
        <v>20894.537929999999</v>
      </c>
      <c r="K79" s="152">
        <v>20894.538</v>
      </c>
      <c r="L79" s="150">
        <f>K79/H79</f>
        <v>1.0000000033501579</v>
      </c>
      <c r="M79" s="148">
        <v>20894.537929999999</v>
      </c>
      <c r="N79" s="151">
        <f>M79/D79</f>
        <v>7.4413642574962247E-2</v>
      </c>
      <c r="O79" s="152">
        <v>0</v>
      </c>
      <c r="P79" s="151">
        <f>O79/D79</f>
        <v>0</v>
      </c>
      <c r="Q79" s="152">
        <v>0</v>
      </c>
      <c r="R79" s="152">
        <v>20894.537929999999</v>
      </c>
      <c r="S79" s="153">
        <v>169307.20105999999</v>
      </c>
      <c r="T79" s="152">
        <v>249060.74299999999</v>
      </c>
      <c r="U79" s="152"/>
      <c r="V79" s="152">
        <v>215740.9374</v>
      </c>
      <c r="W79" s="152"/>
      <c r="X79" s="152"/>
      <c r="Y79" s="152"/>
      <c r="Z79" s="152">
        <f>V79-X79</f>
        <v>215740.9374</v>
      </c>
      <c r="AA79" s="152"/>
      <c r="AB79" s="152">
        <v>44153.600530000003</v>
      </c>
      <c r="AC79" s="152">
        <v>217206.56700000001</v>
      </c>
      <c r="AD79" s="169"/>
      <c r="AE79" s="169"/>
      <c r="AF79" s="169"/>
      <c r="AG79" s="169"/>
      <c r="AH79" s="218" t="s">
        <v>247</v>
      </c>
      <c r="AI79" s="215"/>
      <c r="AJ79" s="222"/>
      <c r="AK79" s="216">
        <v>46748</v>
      </c>
      <c r="AL79" s="216">
        <v>46646</v>
      </c>
      <c r="AM79" s="216">
        <v>46761</v>
      </c>
      <c r="AN79" s="74">
        <f t="shared" si="63"/>
        <v>-7.2759576141834259E-12</v>
      </c>
    </row>
    <row r="80" spans="1:40" ht="45.75" customHeight="1" x14ac:dyDescent="0.35">
      <c r="A80" s="57"/>
      <c r="B80" s="68" t="s">
        <v>136</v>
      </c>
      <c r="C80" s="61"/>
      <c r="D80" s="145">
        <f>SUM(D81:D87)</f>
        <v>2758579.7043000003</v>
      </c>
      <c r="E80" s="145"/>
      <c r="F80" s="145">
        <f>SUM(F81:F87)</f>
        <v>943598.32074</v>
      </c>
      <c r="G80" s="135">
        <f t="shared" si="65"/>
        <v>0.3420594733112638</v>
      </c>
      <c r="H80" s="145">
        <f>SUM(H81:H87)</f>
        <v>477240.53678999998</v>
      </c>
      <c r="I80" s="136">
        <f t="shared" si="64"/>
        <v>0.50576662367916536</v>
      </c>
      <c r="J80" s="145">
        <f>SUM(J81:J87)</f>
        <v>386156.06939000002</v>
      </c>
      <c r="K80" s="145">
        <f>SUM(K81:K87)</f>
        <v>271447.51120999997</v>
      </c>
      <c r="L80" s="135">
        <f>K80/H80</f>
        <v>0.56878552906633106</v>
      </c>
      <c r="M80" s="145">
        <f>SUM(M81:M87)</f>
        <v>899233.41056999995</v>
      </c>
      <c r="N80" s="136">
        <f>M80/D80</f>
        <v>0.32597695443358005</v>
      </c>
      <c r="O80" s="145">
        <f>SUM(O81:O87)</f>
        <v>627785.89936000004</v>
      </c>
      <c r="P80" s="136">
        <f>O80/D80</f>
        <v>0.22757576965473361</v>
      </c>
      <c r="Q80" s="145">
        <f>SUM(Q81:Q87)</f>
        <v>369029.74525000004</v>
      </c>
      <c r="R80" s="145">
        <f t="shared" ref="R80:AG80" si="70">SUM(R81:R87)</f>
        <v>634886.40142999997</v>
      </c>
      <c r="S80" s="147">
        <f t="shared" si="70"/>
        <v>518393.72681999992</v>
      </c>
      <c r="T80" s="145">
        <f>SUM(T81:T87)</f>
        <v>811496.06299999997</v>
      </c>
      <c r="U80" s="145">
        <f>SUM(U81:U87)</f>
        <v>0</v>
      </c>
      <c r="V80" s="145">
        <f t="shared" si="70"/>
        <v>750761.35144599993</v>
      </c>
      <c r="W80" s="145">
        <f t="shared" si="70"/>
        <v>117000</v>
      </c>
      <c r="X80" s="145">
        <f t="shared" si="70"/>
        <v>173262.54175999999</v>
      </c>
      <c r="Y80" s="145">
        <f t="shared" si="70"/>
        <v>0</v>
      </c>
      <c r="Z80" s="145">
        <f t="shared" si="70"/>
        <v>577498.80968599999</v>
      </c>
      <c r="AA80" s="145">
        <f t="shared" si="70"/>
        <v>1252645.9049500001</v>
      </c>
      <c r="AB80" s="145">
        <f t="shared" si="70"/>
        <v>802725.89189000009</v>
      </c>
      <c r="AC80" s="145">
        <f t="shared" si="70"/>
        <v>1368723.3459999999</v>
      </c>
      <c r="AD80" s="145">
        <f t="shared" si="70"/>
        <v>494940.94689999998</v>
      </c>
      <c r="AE80" s="145">
        <f t="shared" si="70"/>
        <v>581102</v>
      </c>
      <c r="AF80" s="145">
        <f t="shared" si="70"/>
        <v>0</v>
      </c>
      <c r="AG80" s="145">
        <f t="shared" si="70"/>
        <v>0</v>
      </c>
      <c r="AH80" s="213"/>
      <c r="AI80" s="210"/>
      <c r="AJ80" s="211"/>
      <c r="AK80" s="213"/>
      <c r="AL80" s="213"/>
      <c r="AM80" s="213"/>
      <c r="AN80" s="74">
        <f t="shared" si="63"/>
        <v>-15819.354745999561</v>
      </c>
    </row>
    <row r="81" spans="1:40" ht="69.75" x14ac:dyDescent="0.35">
      <c r="A81" s="104">
        <v>1</v>
      </c>
      <c r="B81" s="120" t="s">
        <v>140</v>
      </c>
      <c r="C81" s="100" t="s">
        <v>141</v>
      </c>
      <c r="D81" s="148">
        <v>240842.30559</v>
      </c>
      <c r="E81" s="149" t="s">
        <v>22</v>
      </c>
      <c r="F81" s="152">
        <v>150040.27116999999</v>
      </c>
      <c r="G81" s="150">
        <f>F81/D81</f>
        <v>0.62298137697378775</v>
      </c>
      <c r="H81" s="152">
        <v>150040.27116999999</v>
      </c>
      <c r="I81" s="151">
        <f>H81/F81</f>
        <v>1</v>
      </c>
      <c r="J81" s="152">
        <v>143623.58061</v>
      </c>
      <c r="K81" s="152">
        <v>128953.6152</v>
      </c>
      <c r="L81" s="150">
        <f>K81/H81</f>
        <v>0.85946002492818618</v>
      </c>
      <c r="M81" s="152">
        <v>170448.07810000001</v>
      </c>
      <c r="N81" s="151">
        <f>M81/D81</f>
        <v>0.70771651883354658</v>
      </c>
      <c r="O81" s="152">
        <v>41494.462899999999</v>
      </c>
      <c r="P81" s="151">
        <f>O81/D81</f>
        <v>0.17228892904985912</v>
      </c>
      <c r="Q81" s="152">
        <v>18817.13192</v>
      </c>
      <c r="R81" s="152">
        <v>156024.02197</v>
      </c>
      <c r="S81" s="153">
        <v>59450.161070000002</v>
      </c>
      <c r="T81" s="152">
        <v>93062.521999999997</v>
      </c>
      <c r="U81" s="152"/>
      <c r="V81" s="152">
        <v>78401.593059999999</v>
      </c>
      <c r="W81" s="152"/>
      <c r="X81" s="152">
        <v>8007.3655699999999</v>
      </c>
      <c r="Y81" s="152"/>
      <c r="Z81" s="152">
        <f t="shared" ref="Z81:Z87" si="71">V81-X81</f>
        <v>70394.227490000005</v>
      </c>
      <c r="AA81" s="152"/>
      <c r="AB81" s="152"/>
      <c r="AC81" s="152">
        <v>250000</v>
      </c>
      <c r="AD81" s="169"/>
      <c r="AE81" s="169"/>
      <c r="AF81" s="169"/>
      <c r="AG81" s="169"/>
      <c r="AH81" s="214">
        <v>0.28000000000000003</v>
      </c>
      <c r="AI81" s="215">
        <v>0.9</v>
      </c>
      <c r="AJ81" s="222"/>
      <c r="AK81" s="174"/>
      <c r="AL81" s="230">
        <v>46367</v>
      </c>
      <c r="AM81" s="230">
        <v>46367</v>
      </c>
      <c r="AN81" s="74">
        <f t="shared" si="63"/>
        <v>-1.4551915228366852E-11</v>
      </c>
    </row>
    <row r="82" spans="1:40" ht="93" x14ac:dyDescent="0.35">
      <c r="A82" s="122">
        <v>2</v>
      </c>
      <c r="B82" s="117" t="s">
        <v>137</v>
      </c>
      <c r="C82" s="100" t="s">
        <v>138</v>
      </c>
      <c r="D82" s="148">
        <v>544100.68746000004</v>
      </c>
      <c r="E82" s="149" t="s">
        <v>22</v>
      </c>
      <c r="F82" s="152">
        <v>153120.47537</v>
      </c>
      <c r="G82" s="150">
        <f t="shared" si="65"/>
        <v>0.28141937494107055</v>
      </c>
      <c r="H82" s="152">
        <v>153120.47537</v>
      </c>
      <c r="I82" s="151">
        <f t="shared" si="64"/>
        <v>1</v>
      </c>
      <c r="J82" s="152">
        <v>148036.69325000001</v>
      </c>
      <c r="K82" s="152">
        <v>52441.98588</v>
      </c>
      <c r="L82" s="150">
        <f t="shared" ref="L82:L87" si="72">K82/H82</f>
        <v>0.34248839518868585</v>
      </c>
      <c r="M82" s="152">
        <v>421736.05375000002</v>
      </c>
      <c r="N82" s="151">
        <f t="shared" ref="N82:N87" si="73">M82/D82</f>
        <v>0.77510663645504818</v>
      </c>
      <c r="O82" s="152">
        <v>369294.06787000003</v>
      </c>
      <c r="P82" s="151">
        <f t="shared" ref="P82:P87" si="74">O82/D82</f>
        <v>0.6787237663564778</v>
      </c>
      <c r="Q82" s="152">
        <v>148028.19605999999</v>
      </c>
      <c r="R82" s="152">
        <v>261766.16138000001</v>
      </c>
      <c r="S82" s="153">
        <v>93455.644149999993</v>
      </c>
      <c r="T82" s="250">
        <v>184000</v>
      </c>
      <c r="U82" s="152"/>
      <c r="V82" s="152">
        <v>155000</v>
      </c>
      <c r="W82" s="152"/>
      <c r="X82" s="152">
        <v>154886.11027</v>
      </c>
      <c r="Y82" s="152"/>
      <c r="Z82" s="152">
        <f t="shared" si="71"/>
        <v>113.88972999999532</v>
      </c>
      <c r="AA82" s="152"/>
      <c r="AB82" s="152">
        <v>122250.74398</v>
      </c>
      <c r="AC82" s="250">
        <v>584712.66700000002</v>
      </c>
      <c r="AD82" s="169"/>
      <c r="AE82" s="169"/>
      <c r="AF82" s="169"/>
      <c r="AG82" s="169"/>
      <c r="AH82" s="249">
        <v>0.84</v>
      </c>
      <c r="AI82" s="215">
        <v>0.44</v>
      </c>
      <c r="AJ82" s="222"/>
      <c r="AK82" s="230">
        <v>46748</v>
      </c>
      <c r="AL82" s="230">
        <v>46383</v>
      </c>
      <c r="AM82" s="230">
        <v>46188</v>
      </c>
      <c r="AN82" s="74">
        <f t="shared" si="63"/>
        <v>2.9103830456733704E-11</v>
      </c>
    </row>
    <row r="83" spans="1:40" ht="93" x14ac:dyDescent="0.35">
      <c r="A83" s="122">
        <v>3</v>
      </c>
      <c r="B83" s="117" t="s">
        <v>137</v>
      </c>
      <c r="C83" s="100" t="s">
        <v>139</v>
      </c>
      <c r="D83" s="148">
        <v>238759.76800000001</v>
      </c>
      <c r="E83" s="149" t="s">
        <v>17</v>
      </c>
      <c r="F83" s="152">
        <v>71627.930399999997</v>
      </c>
      <c r="G83" s="150">
        <f t="shared" si="65"/>
        <v>0.3</v>
      </c>
      <c r="H83" s="152">
        <v>71627.930399999997</v>
      </c>
      <c r="I83" s="151">
        <f t="shared" si="64"/>
        <v>1</v>
      </c>
      <c r="J83" s="152">
        <v>71627.930399999997</v>
      </c>
      <c r="K83" s="152">
        <v>67184.044999999998</v>
      </c>
      <c r="L83" s="150">
        <f t="shared" si="72"/>
        <v>0.93795876308049797</v>
      </c>
      <c r="M83" s="152">
        <v>81996.996320000006</v>
      </c>
      <c r="N83" s="151">
        <f t="shared" si="73"/>
        <v>0.34342886578780729</v>
      </c>
      <c r="O83" s="152">
        <v>14812.95132</v>
      </c>
      <c r="P83" s="151">
        <f t="shared" si="74"/>
        <v>6.2041236863657867E-2</v>
      </c>
      <c r="Q83" s="152">
        <v>0</v>
      </c>
      <c r="R83" s="152">
        <v>71627.930399999997</v>
      </c>
      <c r="S83" s="153">
        <v>167131.8376</v>
      </c>
      <c r="T83" s="250"/>
      <c r="U83" s="152"/>
      <c r="V83" s="152">
        <v>20000</v>
      </c>
      <c r="W83" s="152"/>
      <c r="X83" s="152">
        <v>10369.065919999999</v>
      </c>
      <c r="Y83" s="152"/>
      <c r="Z83" s="152">
        <f t="shared" si="71"/>
        <v>9630.9340800000009</v>
      </c>
      <c r="AA83" s="152"/>
      <c r="AB83" s="152">
        <v>147131.8376</v>
      </c>
      <c r="AC83" s="250"/>
      <c r="AD83" s="169"/>
      <c r="AE83" s="169"/>
      <c r="AF83" s="169"/>
      <c r="AG83" s="169"/>
      <c r="AH83" s="249"/>
      <c r="AI83" s="215">
        <v>0.44</v>
      </c>
      <c r="AJ83" s="222"/>
      <c r="AK83" s="174"/>
      <c r="AL83" s="174"/>
      <c r="AM83" s="174"/>
      <c r="AN83" s="74">
        <f t="shared" si="63"/>
        <v>0</v>
      </c>
    </row>
    <row r="84" spans="1:40" ht="82.5" customHeight="1" x14ac:dyDescent="0.35">
      <c r="A84" s="122">
        <v>4</v>
      </c>
      <c r="B84" s="117" t="s">
        <v>142</v>
      </c>
      <c r="C84" s="100" t="s">
        <v>143</v>
      </c>
      <c r="D84" s="148">
        <v>202184.41727000001</v>
      </c>
      <c r="E84" s="149" t="s">
        <v>22</v>
      </c>
      <c r="F84" s="152">
        <v>109001.88601</v>
      </c>
      <c r="G84" s="150">
        <f t="shared" si="65"/>
        <v>0.53912110281198034</v>
      </c>
      <c r="H84" s="152">
        <v>79583.994720000002</v>
      </c>
      <c r="I84" s="151">
        <f t="shared" si="64"/>
        <v>0.73011575884750146</v>
      </c>
      <c r="J84" s="152">
        <v>0</v>
      </c>
      <c r="K84" s="152">
        <v>0</v>
      </c>
      <c r="L84" s="150">
        <f t="shared" si="72"/>
        <v>0</v>
      </c>
      <c r="M84" s="152">
        <v>202184.41727000001</v>
      </c>
      <c r="N84" s="151">
        <f t="shared" si="73"/>
        <v>1</v>
      </c>
      <c r="O84" s="152">
        <v>202184.41727000001</v>
      </c>
      <c r="P84" s="151">
        <f t="shared" si="74"/>
        <v>1</v>
      </c>
      <c r="Q84" s="152">
        <v>202184.41727000001</v>
      </c>
      <c r="R84" s="152">
        <v>122600.42255</v>
      </c>
      <c r="S84" s="153"/>
      <c r="T84" s="152">
        <v>15819.355</v>
      </c>
      <c r="U84" s="152"/>
      <c r="V84" s="152">
        <v>15819.35475</v>
      </c>
      <c r="W84" s="152"/>
      <c r="X84" s="152"/>
      <c r="Y84" s="152"/>
      <c r="Z84" s="152">
        <f t="shared" si="71"/>
        <v>15819.35475</v>
      </c>
      <c r="AA84" s="152"/>
      <c r="AB84" s="152"/>
      <c r="AC84" s="152"/>
      <c r="AD84" s="169"/>
      <c r="AE84" s="169"/>
      <c r="AF84" s="169"/>
      <c r="AG84" s="169"/>
      <c r="AH84" s="214" t="s">
        <v>246</v>
      </c>
      <c r="AI84" s="221"/>
      <c r="AJ84" s="222"/>
      <c r="AK84" s="174"/>
      <c r="AL84" s="230">
        <v>45535</v>
      </c>
      <c r="AM84" s="230">
        <v>45890</v>
      </c>
      <c r="AN84" s="74">
        <f t="shared" si="63"/>
        <v>-15819.35475</v>
      </c>
    </row>
    <row r="85" spans="1:40" ht="93" x14ac:dyDescent="0.35">
      <c r="A85" s="122">
        <v>5</v>
      </c>
      <c r="B85" s="122" t="s">
        <v>144</v>
      </c>
      <c r="C85" s="100" t="s">
        <v>145</v>
      </c>
      <c r="D85" s="148">
        <v>258380.5816</v>
      </c>
      <c r="E85" s="149" t="s">
        <v>22</v>
      </c>
      <c r="F85" s="152">
        <v>77514.174480000001</v>
      </c>
      <c r="G85" s="150">
        <f t="shared" si="65"/>
        <v>0.3</v>
      </c>
      <c r="H85" s="152">
        <v>4031.89041</v>
      </c>
      <c r="I85" s="151">
        <f t="shared" si="64"/>
        <v>5.2014879046932215E-2</v>
      </c>
      <c r="J85" s="152">
        <v>4031.89041</v>
      </c>
      <c r="K85" s="152">
        <v>4031.89041</v>
      </c>
      <c r="L85" s="150">
        <f t="shared" si="72"/>
        <v>1</v>
      </c>
      <c r="M85" s="152">
        <v>4031.89041</v>
      </c>
      <c r="N85" s="151">
        <f t="shared" si="73"/>
        <v>1.5604463714079664E-2</v>
      </c>
      <c r="O85" s="152">
        <v>0</v>
      </c>
      <c r="P85" s="151">
        <f t="shared" si="74"/>
        <v>0</v>
      </c>
      <c r="Q85" s="152">
        <v>0</v>
      </c>
      <c r="R85" s="152">
        <v>4031.89041</v>
      </c>
      <c r="S85" s="153">
        <v>95526.019289999997</v>
      </c>
      <c r="T85" s="152">
        <v>69268.11</v>
      </c>
      <c r="U85" s="152"/>
      <c r="V85" s="152">
        <v>59407.744290000002</v>
      </c>
      <c r="W85" s="152"/>
      <c r="X85" s="152"/>
      <c r="Y85" s="152"/>
      <c r="Z85" s="152">
        <f t="shared" si="71"/>
        <v>59407.744290000002</v>
      </c>
      <c r="AA85" s="152">
        <v>100000</v>
      </c>
      <c r="AB85" s="152">
        <v>100000</v>
      </c>
      <c r="AC85" s="152">
        <v>100000</v>
      </c>
      <c r="AD85" s="152">
        <v>94940.946899999995</v>
      </c>
      <c r="AE85" s="152">
        <v>181102</v>
      </c>
      <c r="AF85" s="169"/>
      <c r="AG85" s="169"/>
      <c r="AH85" s="223" t="s">
        <v>247</v>
      </c>
      <c r="AI85" s="221"/>
      <c r="AJ85" s="222"/>
      <c r="AK85" s="230">
        <v>46022</v>
      </c>
      <c r="AL85" s="230">
        <v>46744</v>
      </c>
      <c r="AM85" s="230">
        <v>47148</v>
      </c>
      <c r="AN85" s="74">
        <f t="shared" si="63"/>
        <v>1.4551915228366852E-11</v>
      </c>
    </row>
    <row r="86" spans="1:40" ht="245.25" customHeight="1" x14ac:dyDescent="0.35">
      <c r="A86" s="122">
        <v>6</v>
      </c>
      <c r="B86" s="122" t="s">
        <v>146</v>
      </c>
      <c r="C86" s="100" t="s">
        <v>147</v>
      </c>
      <c r="D86" s="148">
        <v>526797.76699999999</v>
      </c>
      <c r="E86" s="149" t="s">
        <v>22</v>
      </c>
      <c r="F86" s="152">
        <v>158039.33009999999</v>
      </c>
      <c r="G86" s="150">
        <f t="shared" si="65"/>
        <v>0.3</v>
      </c>
      <c r="H86" s="152">
        <v>8239.5405100000007</v>
      </c>
      <c r="I86" s="151">
        <f t="shared" si="64"/>
        <v>5.2136012629175284E-2</v>
      </c>
      <c r="J86" s="152">
        <v>8239.5405100000007</v>
      </c>
      <c r="K86" s="152">
        <v>8239.5405100000007</v>
      </c>
      <c r="L86" s="150">
        <f t="shared" si="72"/>
        <v>1</v>
      </c>
      <c r="M86" s="152">
        <v>8239.5405100000007</v>
      </c>
      <c r="N86" s="151">
        <f t="shared" si="73"/>
        <v>1.5640803788752582E-2</v>
      </c>
      <c r="O86" s="152">
        <v>0</v>
      </c>
      <c r="P86" s="151">
        <f t="shared" si="74"/>
        <v>0</v>
      </c>
      <c r="Q86" s="152">
        <v>0</v>
      </c>
      <c r="R86" s="152">
        <v>8239.5405100000007</v>
      </c>
      <c r="S86" s="153">
        <v>42425.594539999998</v>
      </c>
      <c r="T86" s="152">
        <v>21760.458999999999</v>
      </c>
      <c r="U86" s="152"/>
      <c r="V86" s="152">
        <v>19225.594539999998</v>
      </c>
      <c r="W86" s="154">
        <v>117000</v>
      </c>
      <c r="X86" s="152"/>
      <c r="Y86" s="152"/>
      <c r="Z86" s="152">
        <f t="shared" si="71"/>
        <v>19225.594539999998</v>
      </c>
      <c r="AA86" s="152">
        <v>476132.63195000001</v>
      </c>
      <c r="AB86" s="152">
        <v>99332.631949999995</v>
      </c>
      <c r="AC86" s="152">
        <v>100000</v>
      </c>
      <c r="AD86" s="169">
        <v>400000</v>
      </c>
      <c r="AE86" s="170">
        <v>400000</v>
      </c>
      <c r="AF86" s="169"/>
      <c r="AG86" s="169"/>
      <c r="AH86" s="223" t="s">
        <v>247</v>
      </c>
      <c r="AI86" s="221"/>
      <c r="AJ86" s="222"/>
      <c r="AK86" s="230">
        <v>46744</v>
      </c>
      <c r="AL86" s="230">
        <v>46744</v>
      </c>
      <c r="AM86" s="230">
        <v>46747</v>
      </c>
      <c r="AN86" s="74">
        <f t="shared" si="63"/>
        <v>-5.8207660913467407E-11</v>
      </c>
    </row>
    <row r="87" spans="1:40" ht="162.75" x14ac:dyDescent="0.25">
      <c r="A87" s="104">
        <v>7</v>
      </c>
      <c r="B87" s="118" t="s">
        <v>148</v>
      </c>
      <c r="C87" s="100" t="s">
        <v>149</v>
      </c>
      <c r="D87" s="148">
        <v>747514.17738000001</v>
      </c>
      <c r="E87" s="149" t="s">
        <v>22</v>
      </c>
      <c r="F87" s="152">
        <v>224254.25321</v>
      </c>
      <c r="G87" s="150">
        <f t="shared" si="65"/>
        <v>0.29999999999464894</v>
      </c>
      <c r="H87" s="152">
        <v>10596.434209999999</v>
      </c>
      <c r="I87" s="151">
        <f t="shared" si="64"/>
        <v>4.7251876199989419E-2</v>
      </c>
      <c r="J87" s="152">
        <v>10596.434209999999</v>
      </c>
      <c r="K87" s="152">
        <v>10596.434209999999</v>
      </c>
      <c r="L87" s="150">
        <f t="shared" si="72"/>
        <v>1</v>
      </c>
      <c r="M87" s="152">
        <v>10596.434209999999</v>
      </c>
      <c r="N87" s="151">
        <f t="shared" si="73"/>
        <v>1.4175562859743977E-2</v>
      </c>
      <c r="O87" s="152">
        <v>0</v>
      </c>
      <c r="P87" s="151">
        <f t="shared" si="74"/>
        <v>0</v>
      </c>
      <c r="Q87" s="152">
        <v>0</v>
      </c>
      <c r="R87" s="152">
        <v>10596.434209999999</v>
      </c>
      <c r="S87" s="153">
        <v>60404.470170000001</v>
      </c>
      <c r="T87" s="152">
        <v>427585.61700000003</v>
      </c>
      <c r="U87" s="152"/>
      <c r="V87" s="152">
        <v>402907.06480599998</v>
      </c>
      <c r="W87" s="152"/>
      <c r="X87" s="152"/>
      <c r="Y87" s="152"/>
      <c r="Z87" s="152">
        <f t="shared" si="71"/>
        <v>402907.06480599998</v>
      </c>
      <c r="AA87" s="152">
        <v>676513.27300000004</v>
      </c>
      <c r="AB87" s="152">
        <v>334010.67836000002</v>
      </c>
      <c r="AC87" s="152">
        <v>334010.679</v>
      </c>
      <c r="AD87" s="169"/>
      <c r="AE87" s="169"/>
      <c r="AF87" s="169"/>
      <c r="AG87" s="169"/>
      <c r="AH87" s="223" t="s">
        <v>247</v>
      </c>
      <c r="AI87" s="215">
        <v>0</v>
      </c>
      <c r="AJ87" s="215" t="s">
        <v>259</v>
      </c>
      <c r="AK87" s="174"/>
      <c r="AL87" s="230">
        <v>46745</v>
      </c>
      <c r="AM87" s="230">
        <v>46732</v>
      </c>
      <c r="AN87" s="74">
        <f t="shared" si="63"/>
        <v>4.0000304579734802E-6</v>
      </c>
    </row>
    <row r="88" spans="1:40" ht="49.5" customHeight="1" x14ac:dyDescent="0.35">
      <c r="A88" s="57"/>
      <c r="B88" s="66" t="s">
        <v>150</v>
      </c>
      <c r="C88" s="63"/>
      <c r="D88" s="145">
        <f>SUM(D89:D90)</f>
        <v>653212.28620999993</v>
      </c>
      <c r="E88" s="171"/>
      <c r="F88" s="145">
        <f>SUM(F89:F90)</f>
        <v>95527.699170000007</v>
      </c>
      <c r="G88" s="135">
        <f t="shared" si="65"/>
        <v>0.14624296141804197</v>
      </c>
      <c r="H88" s="145">
        <f>SUM(H89:H90)</f>
        <v>95527.699500000002</v>
      </c>
      <c r="I88" s="136">
        <f t="shared" si="64"/>
        <v>1.0000000034544954</v>
      </c>
      <c r="J88" s="145">
        <f>SUM(J89:J90)</f>
        <v>77426.720020000008</v>
      </c>
      <c r="K88" s="145">
        <f>SUM(K89:K90)</f>
        <v>62763.383020000001</v>
      </c>
      <c r="L88" s="135">
        <f>K88/H88</f>
        <v>0.65701763308976158</v>
      </c>
      <c r="M88" s="145">
        <f>SUM(M89:M90)</f>
        <v>183344.25644999999</v>
      </c>
      <c r="N88" s="136">
        <f>M88/D88</f>
        <v>0.2806809674597226</v>
      </c>
      <c r="O88" s="145">
        <f>SUM(O89:O90)</f>
        <v>120580.87302</v>
      </c>
      <c r="P88" s="136">
        <f>O88/D88</f>
        <v>0.1845967621332136</v>
      </c>
      <c r="Q88" s="145">
        <f t="shared" ref="Q88:AG88" si="75">SUM(Q89:Q90)</f>
        <v>113978.32663</v>
      </c>
      <c r="R88" s="145">
        <f t="shared" si="75"/>
        <v>165243.27730000002</v>
      </c>
      <c r="S88" s="147">
        <f t="shared" si="75"/>
        <v>383887.89014999999</v>
      </c>
      <c r="T88" s="145">
        <f>SUM(T89:T90)</f>
        <v>240533.09100000001</v>
      </c>
      <c r="U88" s="145">
        <f>SUM(U89:U90)</f>
        <v>24082.565999999999</v>
      </c>
      <c r="V88" s="145">
        <f t="shared" si="75"/>
        <v>184048.86900000001</v>
      </c>
      <c r="W88" s="145">
        <f t="shared" si="75"/>
        <v>0</v>
      </c>
      <c r="X88" s="145">
        <f t="shared" si="75"/>
        <v>0</v>
      </c>
      <c r="Y88" s="145">
        <f t="shared" si="75"/>
        <v>0</v>
      </c>
      <c r="Z88" s="145">
        <f t="shared" si="75"/>
        <v>184048.86900000001</v>
      </c>
      <c r="AA88" s="145">
        <f t="shared" si="75"/>
        <v>0</v>
      </c>
      <c r="AB88" s="145">
        <f t="shared" si="75"/>
        <v>285819.16113000002</v>
      </c>
      <c r="AC88" s="145">
        <f t="shared" si="75"/>
        <v>380519.81</v>
      </c>
      <c r="AD88" s="145">
        <f t="shared" si="75"/>
        <v>0</v>
      </c>
      <c r="AE88" s="145">
        <f t="shared" si="75"/>
        <v>0</v>
      </c>
      <c r="AF88" s="145">
        <f t="shared" si="75"/>
        <v>0</v>
      </c>
      <c r="AG88" s="145">
        <f t="shared" si="75"/>
        <v>0</v>
      </c>
      <c r="AH88" s="213"/>
      <c r="AI88" s="210"/>
      <c r="AJ88" s="211"/>
      <c r="AK88" s="213"/>
      <c r="AL88" s="213"/>
      <c r="AM88" s="213"/>
      <c r="AN88" s="74">
        <f t="shared" si="63"/>
        <v>-3.7000008160248399E-4</v>
      </c>
    </row>
    <row r="89" spans="1:40" ht="93" x14ac:dyDescent="0.25">
      <c r="A89" s="122">
        <v>1</v>
      </c>
      <c r="B89" s="117" t="s">
        <v>151</v>
      </c>
      <c r="C89" s="100" t="s">
        <v>152</v>
      </c>
      <c r="D89" s="148">
        <v>156122.95499999999</v>
      </c>
      <c r="E89" s="149" t="s">
        <v>17</v>
      </c>
      <c r="F89" s="172">
        <v>46836.886500000001</v>
      </c>
      <c r="G89" s="150">
        <f t="shared" si="65"/>
        <v>0.30000000000000004</v>
      </c>
      <c r="H89" s="172">
        <v>46836.886500000001</v>
      </c>
      <c r="I89" s="151">
        <f t="shared" si="64"/>
        <v>1</v>
      </c>
      <c r="J89" s="152">
        <v>31224.591</v>
      </c>
      <c r="K89" s="172">
        <v>16561.254000000001</v>
      </c>
      <c r="L89" s="150">
        <f t="shared" ref="L89:L90" si="76">K89/H89</f>
        <v>0.35359425524580934</v>
      </c>
      <c r="M89" s="172">
        <v>102074.08637</v>
      </c>
      <c r="N89" s="151">
        <f t="shared" ref="N89:N90" si="77">M89/D89</f>
        <v>0.65380575438121835</v>
      </c>
      <c r="O89" s="152">
        <v>85512.831959999996</v>
      </c>
      <c r="P89" s="151">
        <f t="shared" ref="P89:P90" si="78">O89/D89</f>
        <v>0.54772747518134024</v>
      </c>
      <c r="Q89" s="152">
        <v>78910.285569999993</v>
      </c>
      <c r="R89" s="152">
        <v>86461.790870000012</v>
      </c>
      <c r="S89" s="153"/>
      <c r="T89" s="152">
        <v>59533.091</v>
      </c>
      <c r="U89" s="152"/>
      <c r="V89" s="152">
        <v>54048.868999999999</v>
      </c>
      <c r="W89" s="152"/>
      <c r="X89" s="152"/>
      <c r="Y89" s="152"/>
      <c r="Z89" s="152">
        <f>V89-X89</f>
        <v>54048.868999999999</v>
      </c>
      <c r="AA89" s="152"/>
      <c r="AB89" s="152"/>
      <c r="AC89" s="152"/>
      <c r="AD89" s="169"/>
      <c r="AE89" s="169"/>
      <c r="AF89" s="169"/>
      <c r="AG89" s="169"/>
      <c r="AH89" s="214">
        <v>0.84</v>
      </c>
      <c r="AI89" s="221"/>
      <c r="AJ89" s="215" t="s">
        <v>259</v>
      </c>
      <c r="AK89" s="174"/>
      <c r="AL89" s="230">
        <v>46017</v>
      </c>
      <c r="AM89" s="230">
        <v>45631</v>
      </c>
      <c r="AN89" s="74">
        <f t="shared" si="63"/>
        <v>-3.7000001611886546E-4</v>
      </c>
    </row>
    <row r="90" spans="1:40" ht="69.75" x14ac:dyDescent="0.25">
      <c r="A90" s="122">
        <v>2</v>
      </c>
      <c r="B90" s="117" t="s">
        <v>153</v>
      </c>
      <c r="C90" s="100" t="s">
        <v>154</v>
      </c>
      <c r="D90" s="148">
        <v>497089.33120999997</v>
      </c>
      <c r="E90" s="149" t="s">
        <v>22</v>
      </c>
      <c r="F90" s="148">
        <v>48690.812669999999</v>
      </c>
      <c r="G90" s="150">
        <f t="shared" si="65"/>
        <v>9.7951836044194066E-2</v>
      </c>
      <c r="H90" s="148">
        <v>48690.813000000002</v>
      </c>
      <c r="I90" s="151">
        <f t="shared" si="64"/>
        <v>1.0000000067774593</v>
      </c>
      <c r="J90" s="148">
        <v>46202.12902</v>
      </c>
      <c r="K90" s="148">
        <v>46202.12902</v>
      </c>
      <c r="L90" s="150">
        <f t="shared" si="76"/>
        <v>0.94888801754039309</v>
      </c>
      <c r="M90" s="148">
        <v>81270.170079999996</v>
      </c>
      <c r="N90" s="151">
        <f t="shared" si="77"/>
        <v>0.16349208276543489</v>
      </c>
      <c r="O90" s="152">
        <v>35068.041060000003</v>
      </c>
      <c r="P90" s="151">
        <f t="shared" si="78"/>
        <v>7.0546758617084829E-2</v>
      </c>
      <c r="Q90" s="152">
        <v>35068.041060000003</v>
      </c>
      <c r="R90" s="152">
        <v>78781.486430000004</v>
      </c>
      <c r="S90" s="153">
        <v>383887.89014999999</v>
      </c>
      <c r="T90" s="152">
        <v>181000</v>
      </c>
      <c r="U90" s="152">
        <v>24082.565999999999</v>
      </c>
      <c r="V90" s="152">
        <v>130000</v>
      </c>
      <c r="W90" s="152"/>
      <c r="X90" s="152"/>
      <c r="Y90" s="152"/>
      <c r="Z90" s="152">
        <f>V90-X90</f>
        <v>130000</v>
      </c>
      <c r="AA90" s="152"/>
      <c r="AB90" s="152">
        <v>285819.16113000002</v>
      </c>
      <c r="AC90" s="152">
        <v>380519.81</v>
      </c>
      <c r="AD90" s="169"/>
      <c r="AE90" s="169"/>
      <c r="AF90" s="169"/>
      <c r="AG90" s="169"/>
      <c r="AH90" s="223" t="s">
        <v>247</v>
      </c>
      <c r="AI90" s="215">
        <v>0.86</v>
      </c>
      <c r="AJ90" s="215" t="s">
        <v>259</v>
      </c>
      <c r="AK90" s="230">
        <v>46748</v>
      </c>
      <c r="AL90" s="230">
        <v>46376</v>
      </c>
      <c r="AM90" s="230">
        <v>46387</v>
      </c>
      <c r="AN90" s="74">
        <f t="shared" si="63"/>
        <v>-5.8207660913467407E-11</v>
      </c>
    </row>
    <row r="91" spans="1:40" ht="44.25" customHeight="1" x14ac:dyDescent="0.35">
      <c r="A91" s="57"/>
      <c r="B91" s="66" t="s">
        <v>155</v>
      </c>
      <c r="C91" s="63"/>
      <c r="D91" s="145">
        <f>D92</f>
        <v>526938.57669999998</v>
      </c>
      <c r="E91" s="171"/>
      <c r="F91" s="145">
        <f>F92</f>
        <v>247661.13105000003</v>
      </c>
      <c r="G91" s="135">
        <f t="shared" si="65"/>
        <v>0.47000000000189784</v>
      </c>
      <c r="H91" s="145">
        <f>H92</f>
        <v>246866.75099999999</v>
      </c>
      <c r="I91" s="136">
        <f t="shared" si="64"/>
        <v>0.99679247184799591</v>
      </c>
      <c r="J91" s="145">
        <f>J92</f>
        <v>88785.178</v>
      </c>
      <c r="K91" s="145">
        <f>K92</f>
        <v>76549.000809999998</v>
      </c>
      <c r="L91" s="135">
        <f t="shared" ref="L91:L102" si="79">K91/H91</f>
        <v>0.31008226300187341</v>
      </c>
      <c r="M91" s="145">
        <f>M92</f>
        <v>449875.03093000001</v>
      </c>
      <c r="N91" s="136">
        <f t="shared" ref="N91:N102" si="80">M91/D91</f>
        <v>0.85375231729546674</v>
      </c>
      <c r="O91" s="145">
        <f>O92</f>
        <v>373326.03012000001</v>
      </c>
      <c r="P91" s="136">
        <f t="shared" ref="P91:P102" si="81">O91/D91</f>
        <v>0.708481114550367</v>
      </c>
      <c r="Q91" s="145">
        <f t="shared" ref="Q91:AG91" si="82">Q92</f>
        <v>282862.64487999998</v>
      </c>
      <c r="R91" s="145">
        <f t="shared" si="82"/>
        <v>282862.64487999998</v>
      </c>
      <c r="S91" s="147">
        <f t="shared" si="82"/>
        <v>77063.545769999997</v>
      </c>
      <c r="T91" s="145">
        <f>T92</f>
        <v>130245.841</v>
      </c>
      <c r="U91" s="145">
        <f>U92</f>
        <v>0</v>
      </c>
      <c r="V91" s="145">
        <f t="shared" si="82"/>
        <v>77063.545769999997</v>
      </c>
      <c r="W91" s="145">
        <f t="shared" si="82"/>
        <v>0</v>
      </c>
      <c r="X91" s="145">
        <f t="shared" si="82"/>
        <v>0</v>
      </c>
      <c r="Y91" s="145">
        <f t="shared" si="82"/>
        <v>0</v>
      </c>
      <c r="Z91" s="145">
        <f t="shared" si="82"/>
        <v>77063.545769999997</v>
      </c>
      <c r="AA91" s="145">
        <f t="shared" si="82"/>
        <v>0</v>
      </c>
      <c r="AB91" s="145">
        <f t="shared" si="82"/>
        <v>0</v>
      </c>
      <c r="AC91" s="145">
        <f t="shared" si="82"/>
        <v>0</v>
      </c>
      <c r="AD91" s="145">
        <f t="shared" si="82"/>
        <v>0</v>
      </c>
      <c r="AE91" s="145">
        <f t="shared" si="82"/>
        <v>0</v>
      </c>
      <c r="AF91" s="145">
        <f t="shared" si="82"/>
        <v>0</v>
      </c>
      <c r="AG91" s="145">
        <f t="shared" si="82"/>
        <v>0</v>
      </c>
      <c r="AH91" s="213"/>
      <c r="AI91" s="210"/>
      <c r="AJ91" s="211"/>
      <c r="AK91" s="213"/>
      <c r="AL91" s="213"/>
      <c r="AM91" s="213"/>
      <c r="AN91" s="74">
        <f t="shared" si="63"/>
        <v>-2.9103830456733704E-11</v>
      </c>
    </row>
    <row r="92" spans="1:40" ht="139.5" x14ac:dyDescent="0.25">
      <c r="A92" s="122">
        <v>1</v>
      </c>
      <c r="B92" s="117" t="s">
        <v>156</v>
      </c>
      <c r="C92" s="100" t="s">
        <v>157</v>
      </c>
      <c r="D92" s="148">
        <v>526938.57669999998</v>
      </c>
      <c r="E92" s="149" t="s">
        <v>17</v>
      </c>
      <c r="F92" s="148">
        <v>247661.13105000003</v>
      </c>
      <c r="G92" s="150">
        <f t="shared" si="65"/>
        <v>0.47000000000189784</v>
      </c>
      <c r="H92" s="148">
        <v>246866.75099999999</v>
      </c>
      <c r="I92" s="151">
        <f t="shared" si="64"/>
        <v>0.99679247184799591</v>
      </c>
      <c r="J92" s="152">
        <v>88785.178</v>
      </c>
      <c r="K92" s="148">
        <v>76549.000809999998</v>
      </c>
      <c r="L92" s="150">
        <f t="shared" si="79"/>
        <v>0.31008226300187341</v>
      </c>
      <c r="M92" s="148">
        <v>449875.03093000001</v>
      </c>
      <c r="N92" s="151">
        <f t="shared" si="80"/>
        <v>0.85375231729546674</v>
      </c>
      <c r="O92" s="152">
        <v>373326.03012000001</v>
      </c>
      <c r="P92" s="151">
        <f t="shared" si="81"/>
        <v>0.708481114550367</v>
      </c>
      <c r="Q92" s="152">
        <v>282862.64487999998</v>
      </c>
      <c r="R92" s="152">
        <v>282862.64487999998</v>
      </c>
      <c r="S92" s="153">
        <v>77063.545769999997</v>
      </c>
      <c r="T92" s="152">
        <v>130245.841</v>
      </c>
      <c r="U92" s="152"/>
      <c r="V92" s="152">
        <v>77063.545769999997</v>
      </c>
      <c r="W92" s="173"/>
      <c r="X92" s="173"/>
      <c r="Y92" s="173"/>
      <c r="Z92" s="154">
        <f>V92-X92</f>
        <v>77063.545769999997</v>
      </c>
      <c r="AA92" s="152"/>
      <c r="AB92" s="152"/>
      <c r="AC92" s="152"/>
      <c r="AD92" s="169"/>
      <c r="AE92" s="169"/>
      <c r="AF92" s="169"/>
      <c r="AG92" s="169"/>
      <c r="AH92" s="214">
        <v>0.95</v>
      </c>
      <c r="AI92" s="215">
        <v>1</v>
      </c>
      <c r="AJ92" s="215" t="s">
        <v>259</v>
      </c>
      <c r="AK92" s="230">
        <v>46381</v>
      </c>
      <c r="AL92" s="230">
        <v>46021</v>
      </c>
      <c r="AM92" s="230">
        <v>45986</v>
      </c>
      <c r="AN92" s="74">
        <f t="shared" si="63"/>
        <v>-2.9103830456733704E-11</v>
      </c>
    </row>
    <row r="93" spans="1:40" ht="46.5" customHeight="1" x14ac:dyDescent="0.35">
      <c r="A93" s="57"/>
      <c r="B93" s="66" t="s">
        <v>158</v>
      </c>
      <c r="C93" s="63"/>
      <c r="D93" s="145">
        <f>D94</f>
        <v>522435.25199999998</v>
      </c>
      <c r="E93" s="171"/>
      <c r="F93" s="145">
        <f>F94</f>
        <v>156730.57558</v>
      </c>
      <c r="G93" s="135">
        <f t="shared" si="65"/>
        <v>0.29999999996171778</v>
      </c>
      <c r="H93" s="145">
        <f>H94</f>
        <v>156730.57558</v>
      </c>
      <c r="I93" s="136">
        <f t="shared" si="64"/>
        <v>1</v>
      </c>
      <c r="J93" s="145">
        <f>J94</f>
        <v>73815.012000000002</v>
      </c>
      <c r="K93" s="145">
        <f>K94</f>
        <v>126425.81018</v>
      </c>
      <c r="L93" s="135">
        <f t="shared" si="79"/>
        <v>0.8066442027163262</v>
      </c>
      <c r="M93" s="145">
        <f>M94</f>
        <v>225300.35240999999</v>
      </c>
      <c r="N93" s="136">
        <f t="shared" si="80"/>
        <v>0.43125028708820745</v>
      </c>
      <c r="O93" s="145">
        <f>O94</f>
        <v>98847.542230000006</v>
      </c>
      <c r="P93" s="136">
        <f t="shared" si="81"/>
        <v>0.18920534525874608</v>
      </c>
      <c r="Q93" s="145">
        <f t="shared" ref="Q93:AG93" si="83">Q94</f>
        <v>38324.843289999997</v>
      </c>
      <c r="R93" s="145">
        <f t="shared" si="83"/>
        <v>100000</v>
      </c>
      <c r="S93" s="147">
        <f t="shared" si="83"/>
        <v>422435.25193999999</v>
      </c>
      <c r="T93" s="145">
        <f>T94</f>
        <v>362394.18599999999</v>
      </c>
      <c r="U93" s="145">
        <f>U94</f>
        <v>81672.260999999999</v>
      </c>
      <c r="V93" s="145">
        <f t="shared" si="83"/>
        <v>272938.79300000001</v>
      </c>
      <c r="W93" s="145">
        <f t="shared" si="83"/>
        <v>180000</v>
      </c>
      <c r="X93" s="145">
        <f t="shared" si="83"/>
        <v>125300.35241000001</v>
      </c>
      <c r="Y93" s="145">
        <f t="shared" si="83"/>
        <v>82915.563150000002</v>
      </c>
      <c r="Z93" s="145">
        <f t="shared" si="83"/>
        <v>147638.44059000001</v>
      </c>
      <c r="AA93" s="145">
        <f t="shared" si="83"/>
        <v>0</v>
      </c>
      <c r="AB93" s="145">
        <f t="shared" si="83"/>
        <v>149496.45894000001</v>
      </c>
      <c r="AC93" s="145">
        <f t="shared" si="83"/>
        <v>150000</v>
      </c>
      <c r="AD93" s="145">
        <f t="shared" si="83"/>
        <v>0</v>
      </c>
      <c r="AE93" s="145">
        <f t="shared" si="83"/>
        <v>0</v>
      </c>
      <c r="AF93" s="145">
        <f t="shared" si="83"/>
        <v>0</v>
      </c>
      <c r="AG93" s="145">
        <f t="shared" si="83"/>
        <v>0</v>
      </c>
      <c r="AH93" s="213"/>
      <c r="AI93" s="210"/>
      <c r="AJ93" s="211"/>
      <c r="AK93" s="213"/>
      <c r="AL93" s="213"/>
      <c r="AM93" s="213"/>
      <c r="AN93" s="74">
        <f t="shared" si="63"/>
        <v>5.9999962104484439E-5</v>
      </c>
    </row>
    <row r="94" spans="1:40" ht="139.5" x14ac:dyDescent="0.25">
      <c r="A94" s="122">
        <v>1</v>
      </c>
      <c r="B94" s="117" t="s">
        <v>159</v>
      </c>
      <c r="C94" s="100" t="s">
        <v>160</v>
      </c>
      <c r="D94" s="148">
        <v>522435.25199999998</v>
      </c>
      <c r="E94" s="149" t="s">
        <v>17</v>
      </c>
      <c r="F94" s="148">
        <v>156730.57558</v>
      </c>
      <c r="G94" s="150">
        <f t="shared" si="65"/>
        <v>0.29999999996171778</v>
      </c>
      <c r="H94" s="152">
        <v>156730.57558</v>
      </c>
      <c r="I94" s="151">
        <f t="shared" si="64"/>
        <v>1</v>
      </c>
      <c r="J94" s="152">
        <v>73815.012000000002</v>
      </c>
      <c r="K94" s="152">
        <v>126425.81018</v>
      </c>
      <c r="L94" s="150">
        <f t="shared" si="79"/>
        <v>0.8066442027163262</v>
      </c>
      <c r="M94" s="148">
        <v>225300.35240999999</v>
      </c>
      <c r="N94" s="151">
        <f t="shared" si="80"/>
        <v>0.43125028708820745</v>
      </c>
      <c r="O94" s="152">
        <v>98847.542230000006</v>
      </c>
      <c r="P94" s="151">
        <f t="shared" si="81"/>
        <v>0.18920534525874608</v>
      </c>
      <c r="Q94" s="152">
        <v>38324.843289999997</v>
      </c>
      <c r="R94" s="152">
        <v>100000</v>
      </c>
      <c r="S94" s="153">
        <v>422435.25193999999</v>
      </c>
      <c r="T94" s="152">
        <v>362394.18599999999</v>
      </c>
      <c r="U94" s="152">
        <v>81672.260999999999</v>
      </c>
      <c r="V94" s="152">
        <v>272938.79300000001</v>
      </c>
      <c r="W94" s="154">
        <v>180000</v>
      </c>
      <c r="X94" s="152">
        <v>125300.35241000001</v>
      </c>
      <c r="Y94" s="154">
        <v>82915.563150000002</v>
      </c>
      <c r="Z94" s="152">
        <f>V94-X94</f>
        <v>147638.44059000001</v>
      </c>
      <c r="AA94" s="152"/>
      <c r="AB94" s="152">
        <v>149496.45894000001</v>
      </c>
      <c r="AC94" s="152">
        <v>150000</v>
      </c>
      <c r="AD94" s="169"/>
      <c r="AE94" s="169"/>
      <c r="AF94" s="169"/>
      <c r="AG94" s="169"/>
      <c r="AH94" s="214">
        <v>0.01</v>
      </c>
      <c r="AI94" s="215">
        <v>0.83</v>
      </c>
      <c r="AJ94" s="215" t="s">
        <v>259</v>
      </c>
      <c r="AK94" s="230">
        <v>46568</v>
      </c>
      <c r="AL94" s="230">
        <v>46568</v>
      </c>
      <c r="AM94" s="230">
        <v>46397</v>
      </c>
      <c r="AN94" s="74">
        <f t="shared" si="63"/>
        <v>5.9999962104484439E-5</v>
      </c>
    </row>
    <row r="95" spans="1:40" ht="44.25" customHeight="1" x14ac:dyDescent="0.35">
      <c r="A95" s="57"/>
      <c r="B95" s="66" t="s">
        <v>161</v>
      </c>
      <c r="C95" s="63"/>
      <c r="D95" s="145">
        <f>D96</f>
        <v>274979.44669000001</v>
      </c>
      <c r="E95" s="171"/>
      <c r="F95" s="145">
        <f>F96</f>
        <v>137489.723</v>
      </c>
      <c r="G95" s="135">
        <f t="shared" si="65"/>
        <v>0.49999999874536077</v>
      </c>
      <c r="H95" s="145">
        <f>H96</f>
        <v>7581.5440499999995</v>
      </c>
      <c r="I95" s="136">
        <f t="shared" si="64"/>
        <v>5.514262364176848E-2</v>
      </c>
      <c r="J95" s="145">
        <f>J96</f>
        <v>7581.5440500000004</v>
      </c>
      <c r="K95" s="145">
        <f>K96</f>
        <v>7581.5440499999995</v>
      </c>
      <c r="L95" s="135">
        <f t="shared" si="79"/>
        <v>1</v>
      </c>
      <c r="M95" s="145">
        <f>M96</f>
        <v>7581.5440499999995</v>
      </c>
      <c r="N95" s="136">
        <f t="shared" si="80"/>
        <v>2.7571311751700141E-2</v>
      </c>
      <c r="O95" s="145">
        <f>O96</f>
        <v>0</v>
      </c>
      <c r="P95" s="136">
        <f t="shared" si="81"/>
        <v>0</v>
      </c>
      <c r="Q95" s="145">
        <f t="shared" ref="Q95:AG95" si="84">Q96</f>
        <v>0</v>
      </c>
      <c r="R95" s="145">
        <f t="shared" si="84"/>
        <v>7581.5440499999995</v>
      </c>
      <c r="S95" s="147">
        <f t="shared" si="84"/>
        <v>87581.544049999997</v>
      </c>
      <c r="T95" s="145">
        <f>T96</f>
        <v>98418.456000000006</v>
      </c>
      <c r="U95" s="145">
        <f>U96</f>
        <v>0</v>
      </c>
      <c r="V95" s="145">
        <f t="shared" si="84"/>
        <v>71581.544049999997</v>
      </c>
      <c r="W95" s="145">
        <f t="shared" si="84"/>
        <v>0</v>
      </c>
      <c r="X95" s="145">
        <f t="shared" si="84"/>
        <v>0</v>
      </c>
      <c r="Y95" s="145">
        <f t="shared" si="84"/>
        <v>0</v>
      </c>
      <c r="Z95" s="145">
        <f t="shared" si="84"/>
        <v>71581.544049999997</v>
      </c>
      <c r="AA95" s="145">
        <f t="shared" si="84"/>
        <v>179816.35858999999</v>
      </c>
      <c r="AB95" s="145">
        <f t="shared" si="84"/>
        <v>195816.35858999999</v>
      </c>
      <c r="AC95" s="145">
        <f t="shared" si="84"/>
        <v>226000</v>
      </c>
      <c r="AD95" s="145">
        <f t="shared" si="84"/>
        <v>0</v>
      </c>
      <c r="AE95" s="145">
        <f t="shared" si="84"/>
        <v>0</v>
      </c>
      <c r="AF95" s="145">
        <f t="shared" si="84"/>
        <v>0</v>
      </c>
      <c r="AG95" s="145">
        <f t="shared" si="84"/>
        <v>0</v>
      </c>
      <c r="AH95" s="213"/>
      <c r="AI95" s="210"/>
      <c r="AJ95" s="211"/>
      <c r="AK95" s="213"/>
      <c r="AL95" s="213"/>
      <c r="AM95" s="213"/>
      <c r="AN95" s="74">
        <f t="shared" si="63"/>
        <v>0</v>
      </c>
    </row>
    <row r="96" spans="1:40" ht="93" x14ac:dyDescent="0.35">
      <c r="A96" s="122">
        <v>1</v>
      </c>
      <c r="B96" s="117" t="s">
        <v>162</v>
      </c>
      <c r="C96" s="100" t="s">
        <v>163</v>
      </c>
      <c r="D96" s="148">
        <v>274979.44669000001</v>
      </c>
      <c r="E96" s="149" t="s">
        <v>22</v>
      </c>
      <c r="F96" s="148">
        <v>137489.723</v>
      </c>
      <c r="G96" s="150">
        <f t="shared" si="65"/>
        <v>0.49999999874536077</v>
      </c>
      <c r="H96" s="148">
        <v>7581.5440499999995</v>
      </c>
      <c r="I96" s="151">
        <f t="shared" si="64"/>
        <v>5.514262364176848E-2</v>
      </c>
      <c r="J96" s="152">
        <v>7581.5440500000004</v>
      </c>
      <c r="K96" s="152">
        <v>7581.5440499999995</v>
      </c>
      <c r="L96" s="150">
        <f t="shared" si="79"/>
        <v>1</v>
      </c>
      <c r="M96" s="148">
        <v>7581.5440499999995</v>
      </c>
      <c r="N96" s="151">
        <f t="shared" si="80"/>
        <v>2.7571311751700141E-2</v>
      </c>
      <c r="O96" s="152">
        <v>0</v>
      </c>
      <c r="P96" s="151">
        <f t="shared" si="81"/>
        <v>0</v>
      </c>
      <c r="Q96" s="152">
        <v>0</v>
      </c>
      <c r="R96" s="152">
        <v>7581.5440499999995</v>
      </c>
      <c r="S96" s="153">
        <v>87581.544049999997</v>
      </c>
      <c r="T96" s="152">
        <v>98418.456000000006</v>
      </c>
      <c r="U96" s="152"/>
      <c r="V96" s="152">
        <v>71581.544049999997</v>
      </c>
      <c r="W96" s="152"/>
      <c r="X96" s="152"/>
      <c r="Y96" s="152"/>
      <c r="Z96" s="152">
        <f>V96-X96</f>
        <v>71581.544049999997</v>
      </c>
      <c r="AA96" s="152">
        <v>179816.35858999999</v>
      </c>
      <c r="AB96" s="152">
        <v>195816.35858999999</v>
      </c>
      <c r="AC96" s="152">
        <v>226000</v>
      </c>
      <c r="AD96" s="169"/>
      <c r="AE96" s="169"/>
      <c r="AF96" s="169"/>
      <c r="AG96" s="169"/>
      <c r="AH96" s="223" t="s">
        <v>247</v>
      </c>
      <c r="AI96" s="221"/>
      <c r="AJ96" s="222"/>
      <c r="AK96" s="174"/>
      <c r="AL96" s="230">
        <v>46418</v>
      </c>
      <c r="AM96" s="230">
        <v>46715</v>
      </c>
      <c r="AN96" s="74">
        <f t="shared" si="63"/>
        <v>0</v>
      </c>
    </row>
    <row r="97" spans="1:40" ht="44.25" customHeight="1" x14ac:dyDescent="0.35">
      <c r="A97" s="57"/>
      <c r="B97" s="66" t="s">
        <v>164</v>
      </c>
      <c r="C97" s="63"/>
      <c r="D97" s="145">
        <f>D98</f>
        <v>788938.20426000003</v>
      </c>
      <c r="E97" s="171"/>
      <c r="F97" s="145">
        <f>F98</f>
        <v>556090.37913999998</v>
      </c>
      <c r="G97" s="135">
        <f t="shared" si="65"/>
        <v>0.7048592350291818</v>
      </c>
      <c r="H97" s="145">
        <f>H98</f>
        <v>22000.005000000001</v>
      </c>
      <c r="I97" s="136">
        <f t="shared" si="64"/>
        <v>3.9561923430546049E-2</v>
      </c>
      <c r="J97" s="145">
        <f>J98</f>
        <v>22000.005000000001</v>
      </c>
      <c r="K97" s="145">
        <f>K98</f>
        <v>22000.005000000001</v>
      </c>
      <c r="L97" s="135">
        <f t="shared" si="79"/>
        <v>1</v>
      </c>
      <c r="M97" s="145">
        <f>M98</f>
        <v>22000.005000000001</v>
      </c>
      <c r="N97" s="136">
        <f t="shared" si="80"/>
        <v>2.788558708553775E-2</v>
      </c>
      <c r="O97" s="145">
        <f>O98</f>
        <v>0</v>
      </c>
      <c r="P97" s="136">
        <f t="shared" si="81"/>
        <v>0</v>
      </c>
      <c r="Q97" s="145">
        <f t="shared" ref="Q97:AG97" si="85">Q98</f>
        <v>0</v>
      </c>
      <c r="R97" s="145">
        <f t="shared" si="85"/>
        <v>22000.005000000001</v>
      </c>
      <c r="S97" s="147">
        <f t="shared" si="85"/>
        <v>530000</v>
      </c>
      <c r="T97" s="145">
        <f>T98</f>
        <v>113003.291</v>
      </c>
      <c r="U97" s="145">
        <f>U98</f>
        <v>30888.22</v>
      </c>
      <c r="V97" s="145">
        <f t="shared" si="85"/>
        <v>77450.193549999996</v>
      </c>
      <c r="W97" s="145">
        <f t="shared" si="85"/>
        <v>91000</v>
      </c>
      <c r="X97" s="145">
        <f t="shared" si="85"/>
        <v>0</v>
      </c>
      <c r="Y97" s="145">
        <f t="shared" si="85"/>
        <v>0</v>
      </c>
      <c r="Z97" s="145">
        <f t="shared" si="85"/>
        <v>77450.193549999996</v>
      </c>
      <c r="AA97" s="145">
        <f t="shared" si="85"/>
        <v>538180.75728000002</v>
      </c>
      <c r="AB97" s="145">
        <f t="shared" si="85"/>
        <v>689488.01020999998</v>
      </c>
      <c r="AC97" s="145">
        <f t="shared" si="85"/>
        <v>1309877.5560000001</v>
      </c>
      <c r="AD97" s="145">
        <f t="shared" si="85"/>
        <v>0</v>
      </c>
      <c r="AE97" s="145">
        <f t="shared" si="85"/>
        <v>0</v>
      </c>
      <c r="AF97" s="145">
        <f t="shared" si="85"/>
        <v>0</v>
      </c>
      <c r="AG97" s="145">
        <f t="shared" si="85"/>
        <v>0</v>
      </c>
      <c r="AH97" s="213"/>
      <c r="AI97" s="210"/>
      <c r="AJ97" s="211"/>
      <c r="AK97" s="213"/>
      <c r="AL97" s="213"/>
      <c r="AM97" s="213"/>
      <c r="AN97" s="74">
        <f t="shared" si="63"/>
        <v>-4.4999999227002263E-3</v>
      </c>
    </row>
    <row r="98" spans="1:40" ht="96.75" customHeight="1" x14ac:dyDescent="0.25">
      <c r="A98" s="122">
        <v>1</v>
      </c>
      <c r="B98" s="117" t="s">
        <v>165</v>
      </c>
      <c r="C98" s="99">
        <v>46228</v>
      </c>
      <c r="D98" s="148">
        <v>788938.20426000003</v>
      </c>
      <c r="E98" s="149" t="s">
        <v>22</v>
      </c>
      <c r="F98" s="148">
        <v>556090.37913999998</v>
      </c>
      <c r="G98" s="150">
        <f t="shared" si="65"/>
        <v>0.7048592350291818</v>
      </c>
      <c r="H98" s="148">
        <v>22000.005000000001</v>
      </c>
      <c r="I98" s="151">
        <f t="shared" si="64"/>
        <v>3.9561923430546049E-2</v>
      </c>
      <c r="J98" s="152">
        <v>22000.005000000001</v>
      </c>
      <c r="K98" s="152">
        <v>22000.005000000001</v>
      </c>
      <c r="L98" s="150">
        <f t="shared" si="79"/>
        <v>1</v>
      </c>
      <c r="M98" s="148">
        <v>22000.005000000001</v>
      </c>
      <c r="N98" s="151">
        <f t="shared" si="80"/>
        <v>2.788558708553775E-2</v>
      </c>
      <c r="O98" s="152">
        <v>0</v>
      </c>
      <c r="P98" s="151">
        <f t="shared" si="81"/>
        <v>0</v>
      </c>
      <c r="Q98" s="152">
        <v>0</v>
      </c>
      <c r="R98" s="152">
        <v>22000.005000000001</v>
      </c>
      <c r="S98" s="153">
        <v>530000</v>
      </c>
      <c r="T98" s="152">
        <v>113003.291</v>
      </c>
      <c r="U98" s="152">
        <v>30888.22</v>
      </c>
      <c r="V98" s="152">
        <v>77450.193549999996</v>
      </c>
      <c r="W98" s="154">
        <v>91000</v>
      </c>
      <c r="X98" s="152"/>
      <c r="Y98" s="152"/>
      <c r="Z98" s="152">
        <f>V98-X98</f>
        <v>77450.193549999996</v>
      </c>
      <c r="AA98" s="152">
        <v>538180.75728000002</v>
      </c>
      <c r="AB98" s="152">
        <v>689488.01020999998</v>
      </c>
      <c r="AC98" s="152">
        <v>1309877.5560000001</v>
      </c>
      <c r="AD98" s="169"/>
      <c r="AE98" s="169"/>
      <c r="AF98" s="169"/>
      <c r="AG98" s="169"/>
      <c r="AH98" s="223" t="s">
        <v>247</v>
      </c>
      <c r="AI98" s="215">
        <v>0</v>
      </c>
      <c r="AJ98" s="215" t="s">
        <v>259</v>
      </c>
      <c r="AK98" s="174"/>
      <c r="AL98" s="230">
        <v>46670</v>
      </c>
      <c r="AM98" s="230">
        <v>46742</v>
      </c>
      <c r="AN98" s="74">
        <f t="shared" si="63"/>
        <v>-4.4999999227002263E-3</v>
      </c>
    </row>
    <row r="99" spans="1:40" ht="53.25" customHeight="1" x14ac:dyDescent="0.35">
      <c r="A99" s="57"/>
      <c r="B99" s="66" t="s">
        <v>166</v>
      </c>
      <c r="C99" s="63"/>
      <c r="D99" s="145">
        <f>SUM(D100:D101)</f>
        <v>4325702.8351400001</v>
      </c>
      <c r="E99" s="171"/>
      <c r="F99" s="145">
        <f>SUM(F100:F101)</f>
        <v>1297710.85054</v>
      </c>
      <c r="G99" s="135">
        <f t="shared" si="65"/>
        <v>0.29999999999953764</v>
      </c>
      <c r="H99" s="145">
        <f>SUM(H100:H101)</f>
        <v>69561.057369999995</v>
      </c>
      <c r="I99" s="136">
        <f t="shared" si="64"/>
        <v>5.3602894158628969E-2</v>
      </c>
      <c r="J99" s="145">
        <f>SUM(J100:J101)</f>
        <v>69561.057369999995</v>
      </c>
      <c r="K99" s="145">
        <f>SUM(K100:K101)</f>
        <v>109311.05316</v>
      </c>
      <c r="L99" s="135">
        <f t="shared" si="79"/>
        <v>1.5714403617898887</v>
      </c>
      <c r="M99" s="145">
        <f>SUM(M100:M101)</f>
        <v>109311.05316</v>
      </c>
      <c r="N99" s="136">
        <f t="shared" si="80"/>
        <v>2.527012541684736E-2</v>
      </c>
      <c r="O99" s="145">
        <f>SUM(O100:O101)</f>
        <v>0</v>
      </c>
      <c r="P99" s="136">
        <f t="shared" si="81"/>
        <v>0</v>
      </c>
      <c r="Q99" s="145">
        <f t="shared" ref="Q99:AG99" si="86">SUM(Q100:Q101)</f>
        <v>0</v>
      </c>
      <c r="R99" s="145">
        <f t="shared" si="86"/>
        <v>69561.057369999995</v>
      </c>
      <c r="S99" s="147">
        <f t="shared" si="86"/>
        <v>1176000.3433600001</v>
      </c>
      <c r="T99" s="145">
        <f>SUM(T100:T101)</f>
        <v>299971.10100000002</v>
      </c>
      <c r="U99" s="145">
        <f>SUM(U100:U101)</f>
        <v>0</v>
      </c>
      <c r="V99" s="145">
        <f t="shared" si="86"/>
        <v>277309.13385899999</v>
      </c>
      <c r="W99" s="145">
        <f t="shared" si="86"/>
        <v>0</v>
      </c>
      <c r="X99" s="145">
        <f t="shared" si="86"/>
        <v>39749.995999999999</v>
      </c>
      <c r="Y99" s="145">
        <f t="shared" si="86"/>
        <v>0</v>
      </c>
      <c r="Z99" s="145">
        <f>SUM(Z100:Z101)</f>
        <v>237559.13785900001</v>
      </c>
      <c r="AA99" s="145">
        <f t="shared" si="86"/>
        <v>1959813.1088999999</v>
      </c>
      <c r="AB99" s="145">
        <f t="shared" si="86"/>
        <v>1084792.1779999998</v>
      </c>
      <c r="AC99" s="145">
        <f t="shared" si="86"/>
        <v>1104792.179</v>
      </c>
      <c r="AD99" s="145">
        <f t="shared" si="86"/>
        <v>80000</v>
      </c>
      <c r="AE99" s="145">
        <f t="shared" si="86"/>
        <v>80000</v>
      </c>
      <c r="AF99" s="145">
        <f t="shared" si="86"/>
        <v>2814040.4650099999</v>
      </c>
      <c r="AG99" s="145">
        <f t="shared" si="86"/>
        <v>3100000</v>
      </c>
      <c r="AH99" s="213"/>
      <c r="AI99" s="210"/>
      <c r="AJ99" s="211"/>
      <c r="AK99" s="213"/>
      <c r="AL99" s="213"/>
      <c r="AM99" s="213"/>
      <c r="AN99" s="74">
        <f t="shared" si="63"/>
        <v>1.1110007762908936E-3</v>
      </c>
    </row>
    <row r="100" spans="1:40" ht="139.5" x14ac:dyDescent="0.35">
      <c r="A100" s="122">
        <v>1</v>
      </c>
      <c r="B100" s="117" t="s">
        <v>167</v>
      </c>
      <c r="C100" s="100" t="s">
        <v>168</v>
      </c>
      <c r="D100" s="148">
        <v>3178785.7977700001</v>
      </c>
      <c r="E100" s="149" t="s">
        <v>22</v>
      </c>
      <c r="F100" s="148">
        <v>953635.73933000001</v>
      </c>
      <c r="G100" s="150">
        <f t="shared" si="65"/>
        <v>0.29999999999968541</v>
      </c>
      <c r="H100" s="148">
        <v>44923.599829999999</v>
      </c>
      <c r="I100" s="151">
        <f t="shared" si="64"/>
        <v>4.7107714169313919E-2</v>
      </c>
      <c r="J100" s="152">
        <v>44923.599829999999</v>
      </c>
      <c r="K100" s="152">
        <v>44923.599829999999</v>
      </c>
      <c r="L100" s="150">
        <f t="shared" si="79"/>
        <v>1</v>
      </c>
      <c r="M100" s="148">
        <v>44923.599829999999</v>
      </c>
      <c r="N100" s="151">
        <f t="shared" si="80"/>
        <v>1.4132314250779357E-2</v>
      </c>
      <c r="O100" s="152">
        <v>0</v>
      </c>
      <c r="P100" s="151">
        <f t="shared" si="81"/>
        <v>0</v>
      </c>
      <c r="Q100" s="152">
        <v>0</v>
      </c>
      <c r="R100" s="152">
        <v>44923.599829999999</v>
      </c>
      <c r="S100" s="153">
        <v>1013533.87243</v>
      </c>
      <c r="T100" s="152">
        <v>175076.4</v>
      </c>
      <c r="U100" s="152"/>
      <c r="V100" s="152">
        <v>159821.73293</v>
      </c>
      <c r="W100" s="152"/>
      <c r="X100" s="152"/>
      <c r="Y100" s="152"/>
      <c r="Z100" s="152">
        <f>V100-X100</f>
        <v>159821.73293</v>
      </c>
      <c r="AA100" s="152">
        <v>1000000</v>
      </c>
      <c r="AB100" s="152">
        <v>80000</v>
      </c>
      <c r="AC100" s="152">
        <v>100000</v>
      </c>
      <c r="AD100" s="152">
        <v>80000</v>
      </c>
      <c r="AE100" s="152">
        <v>80000</v>
      </c>
      <c r="AF100" s="152">
        <v>2814040.4650099999</v>
      </c>
      <c r="AG100" s="152">
        <v>3100000</v>
      </c>
      <c r="AH100" s="223" t="s">
        <v>247</v>
      </c>
      <c r="AI100" s="221"/>
      <c r="AJ100" s="222"/>
      <c r="AK100" s="230">
        <v>47162</v>
      </c>
      <c r="AL100" s="230">
        <v>46796</v>
      </c>
      <c r="AM100" s="230">
        <v>47096</v>
      </c>
      <c r="AN100" s="74">
        <f t="shared" si="63"/>
        <v>0</v>
      </c>
    </row>
    <row r="101" spans="1:40" ht="116.25" x14ac:dyDescent="0.35">
      <c r="A101" s="122">
        <v>2</v>
      </c>
      <c r="B101" s="117" t="s">
        <v>169</v>
      </c>
      <c r="C101" s="100" t="s">
        <v>170</v>
      </c>
      <c r="D101" s="148">
        <v>1146917.03737</v>
      </c>
      <c r="E101" s="149" t="s">
        <v>22</v>
      </c>
      <c r="F101" s="148">
        <v>344075.11121</v>
      </c>
      <c r="G101" s="150">
        <f t="shared" si="65"/>
        <v>0.29999999999912808</v>
      </c>
      <c r="H101" s="148">
        <v>24637.457539999999</v>
      </c>
      <c r="I101" s="151">
        <f t="shared" si="64"/>
        <v>7.1604881426494613E-2</v>
      </c>
      <c r="J101" s="152">
        <v>24637.457539999999</v>
      </c>
      <c r="K101" s="152">
        <v>64387.453329999997</v>
      </c>
      <c r="L101" s="150">
        <f t="shared" si="79"/>
        <v>2.6133968257667872</v>
      </c>
      <c r="M101" s="148">
        <v>64387.453329999997</v>
      </c>
      <c r="N101" s="151">
        <f t="shared" si="80"/>
        <v>5.61395909486593E-2</v>
      </c>
      <c r="O101" s="152">
        <v>0</v>
      </c>
      <c r="P101" s="151">
        <f t="shared" si="81"/>
        <v>0</v>
      </c>
      <c r="Q101" s="152">
        <v>0</v>
      </c>
      <c r="R101" s="152">
        <v>24637.457539999999</v>
      </c>
      <c r="S101" s="153">
        <v>162466.47093000001</v>
      </c>
      <c r="T101" s="152">
        <v>124894.701</v>
      </c>
      <c r="U101" s="152"/>
      <c r="V101" s="152">
        <v>117487.400929</v>
      </c>
      <c r="W101" s="152"/>
      <c r="X101" s="152">
        <v>39749.995999999999</v>
      </c>
      <c r="Y101" s="152"/>
      <c r="Z101" s="152">
        <f>V101-X101</f>
        <v>77737.404928999997</v>
      </c>
      <c r="AA101" s="152">
        <v>959813.10889999999</v>
      </c>
      <c r="AB101" s="152">
        <v>1004792.178</v>
      </c>
      <c r="AC101" s="152">
        <v>1004792.179</v>
      </c>
      <c r="AD101" s="169"/>
      <c r="AE101" s="169"/>
      <c r="AF101" s="169"/>
      <c r="AG101" s="169"/>
      <c r="AH101" s="223" t="s">
        <v>247</v>
      </c>
      <c r="AI101" s="221"/>
      <c r="AJ101" s="222"/>
      <c r="AK101" s="230">
        <v>46721</v>
      </c>
      <c r="AL101" s="230">
        <v>46721</v>
      </c>
      <c r="AM101" s="230">
        <v>46725</v>
      </c>
      <c r="AN101" s="74">
        <f t="shared" ref="AN101:AN130" si="87">D101-M101-Z101-AB101-AD101-AF101</f>
        <v>1.1110001942142844E-3</v>
      </c>
    </row>
    <row r="102" spans="1:40" ht="48" customHeight="1" x14ac:dyDescent="0.35">
      <c r="A102" s="57"/>
      <c r="B102" s="66" t="s">
        <v>171</v>
      </c>
      <c r="C102" s="63"/>
      <c r="D102" s="145">
        <f>SUM(D103:D104)</f>
        <v>780267.049</v>
      </c>
      <c r="E102" s="171"/>
      <c r="F102" s="145">
        <f>SUM(F103:F104)</f>
        <v>292322.35600000003</v>
      </c>
      <c r="G102" s="135">
        <f t="shared" si="65"/>
        <v>0.37464398422904571</v>
      </c>
      <c r="H102" s="145">
        <f>SUM(H103:H104)</f>
        <v>210605.603</v>
      </c>
      <c r="I102" s="136">
        <f t="shared" si="64"/>
        <v>0.72045671046794646</v>
      </c>
      <c r="J102" s="145">
        <f>SUM(J103:J104)</f>
        <v>67654.634699999995</v>
      </c>
      <c r="K102" s="145">
        <f>SUM(K103:K104)</f>
        <v>136750.56263</v>
      </c>
      <c r="L102" s="135">
        <f t="shared" si="79"/>
        <v>0.64932062909076549</v>
      </c>
      <c r="M102" s="145">
        <f>SUM(M103:M104)</f>
        <v>273176.26191999996</v>
      </c>
      <c r="N102" s="136">
        <f t="shared" si="80"/>
        <v>0.35010611081181253</v>
      </c>
      <c r="O102" s="145">
        <f>SUM(O103:O104)</f>
        <v>136425.69928999999</v>
      </c>
      <c r="P102" s="136">
        <f t="shared" si="81"/>
        <v>0.17484488094793299</v>
      </c>
      <c r="Q102" s="145">
        <f t="shared" ref="Q102:AG102" si="88">SUM(Q103:Q104)</f>
        <v>115863.605</v>
      </c>
      <c r="R102" s="145">
        <f t="shared" si="88"/>
        <v>119195.78624</v>
      </c>
      <c r="S102" s="147">
        <f t="shared" si="88"/>
        <v>151485.55549999999</v>
      </c>
      <c r="T102" s="145">
        <f t="shared" si="88"/>
        <v>252169.47200000001</v>
      </c>
      <c r="U102" s="145">
        <f t="shared" si="88"/>
        <v>0</v>
      </c>
      <c r="V102" s="145">
        <f t="shared" si="88"/>
        <v>225521.28612999999</v>
      </c>
      <c r="W102" s="145">
        <f t="shared" si="88"/>
        <v>0</v>
      </c>
      <c r="X102" s="145">
        <f t="shared" si="88"/>
        <v>66833.721009999994</v>
      </c>
      <c r="Y102" s="145">
        <f t="shared" si="88"/>
        <v>55804.213759999999</v>
      </c>
      <c r="Z102" s="145">
        <f t="shared" si="88"/>
        <v>158687.56511999998</v>
      </c>
      <c r="AA102" s="145">
        <f t="shared" si="88"/>
        <v>193074.45157999999</v>
      </c>
      <c r="AB102" s="145">
        <f t="shared" si="88"/>
        <v>80000</v>
      </c>
      <c r="AC102" s="145">
        <f t="shared" si="88"/>
        <v>130000</v>
      </c>
      <c r="AD102" s="145">
        <f t="shared" si="88"/>
        <v>268403.22246999998</v>
      </c>
      <c r="AE102" s="145">
        <f t="shared" si="88"/>
        <v>527242.31299999997</v>
      </c>
      <c r="AF102" s="145">
        <f t="shared" si="88"/>
        <v>0</v>
      </c>
      <c r="AG102" s="145">
        <f t="shared" si="88"/>
        <v>0</v>
      </c>
      <c r="AH102" s="213"/>
      <c r="AI102" s="210"/>
      <c r="AJ102" s="211"/>
      <c r="AK102" s="213"/>
      <c r="AL102" s="213"/>
      <c r="AM102" s="213"/>
      <c r="AN102" s="74">
        <f t="shared" si="87"/>
        <v>-5.0999992527067661E-4</v>
      </c>
    </row>
    <row r="103" spans="1:40" ht="186" x14ac:dyDescent="0.35">
      <c r="A103" s="67">
        <v>1</v>
      </c>
      <c r="B103" s="120" t="s">
        <v>172</v>
      </c>
      <c r="C103" s="62">
        <v>46105</v>
      </c>
      <c r="D103" s="148">
        <v>291211.20600000001</v>
      </c>
      <c r="E103" s="152" t="s">
        <v>17</v>
      </c>
      <c r="F103" s="148">
        <v>145605.603</v>
      </c>
      <c r="G103" s="150">
        <f t="shared" si="65"/>
        <v>0.5</v>
      </c>
      <c r="H103" s="148">
        <v>145605.603</v>
      </c>
      <c r="I103" s="151">
        <f t="shared" si="64"/>
        <v>1</v>
      </c>
      <c r="J103" s="152">
        <v>58458.848460000001</v>
      </c>
      <c r="K103" s="152">
        <v>71750.56263</v>
      </c>
      <c r="L103" s="150">
        <f t="shared" ref="L103:L104" si="89">K103/H103</f>
        <v>0.49277336278055178</v>
      </c>
      <c r="M103" s="148">
        <v>208176.26191999999</v>
      </c>
      <c r="N103" s="151">
        <f t="shared" ref="N103:N104" si="90">M103/D103</f>
        <v>0.71486349986133424</v>
      </c>
      <c r="O103" s="152">
        <v>136425.69928999999</v>
      </c>
      <c r="P103" s="151">
        <f t="shared" ref="P103:P104" si="91">O103/D103</f>
        <v>0.46847681847105838</v>
      </c>
      <c r="Q103" s="152">
        <v>115863.605</v>
      </c>
      <c r="R103" s="152">
        <v>110000</v>
      </c>
      <c r="S103" s="153">
        <v>94064.451579999994</v>
      </c>
      <c r="T103" s="152">
        <v>108607.571</v>
      </c>
      <c r="U103" s="152"/>
      <c r="V103" s="152">
        <v>94064.451579999994</v>
      </c>
      <c r="W103" s="152"/>
      <c r="X103" s="152">
        <v>11029.507250000001</v>
      </c>
      <c r="Y103" s="152"/>
      <c r="Z103" s="152">
        <f>V103-X103</f>
        <v>83034.944329999998</v>
      </c>
      <c r="AA103" s="152">
        <v>94064.451579999994</v>
      </c>
      <c r="AB103" s="152"/>
      <c r="AC103" s="152">
        <v>10000</v>
      </c>
      <c r="AD103" s="169"/>
      <c r="AE103" s="169"/>
      <c r="AF103" s="169"/>
      <c r="AG103" s="169"/>
      <c r="AH103" s="214">
        <v>0.8</v>
      </c>
      <c r="AI103" s="221"/>
      <c r="AJ103" s="222"/>
      <c r="AK103" s="230">
        <v>46748</v>
      </c>
      <c r="AL103" s="230">
        <v>46079</v>
      </c>
      <c r="AM103" s="230">
        <v>46079</v>
      </c>
      <c r="AN103" s="74">
        <f t="shared" si="87"/>
        <v>-2.4999998277053237E-4</v>
      </c>
    </row>
    <row r="104" spans="1:40" ht="139.5" x14ac:dyDescent="0.35">
      <c r="A104" s="122">
        <v>2</v>
      </c>
      <c r="B104" s="117" t="s">
        <v>173</v>
      </c>
      <c r="C104" s="56" t="s">
        <v>174</v>
      </c>
      <c r="D104" s="148">
        <v>489055.84299999999</v>
      </c>
      <c r="E104" s="149" t="s">
        <v>22</v>
      </c>
      <c r="F104" s="148">
        <v>146716.753</v>
      </c>
      <c r="G104" s="150">
        <f t="shared" si="65"/>
        <v>0.30000000020447565</v>
      </c>
      <c r="H104" s="152">
        <v>65000</v>
      </c>
      <c r="I104" s="151">
        <f t="shared" si="64"/>
        <v>0.44303052426466938</v>
      </c>
      <c r="J104" s="152">
        <v>9195.7862399999995</v>
      </c>
      <c r="K104" s="152">
        <v>65000</v>
      </c>
      <c r="L104" s="150">
        <f t="shared" si="89"/>
        <v>1</v>
      </c>
      <c r="M104" s="148">
        <v>65000</v>
      </c>
      <c r="N104" s="151">
        <f t="shared" si="90"/>
        <v>0.13290915736998976</v>
      </c>
      <c r="O104" s="152">
        <v>0</v>
      </c>
      <c r="P104" s="151">
        <f t="shared" si="91"/>
        <v>0</v>
      </c>
      <c r="Q104" s="152">
        <v>0</v>
      </c>
      <c r="R104" s="152">
        <v>9195.7862399999995</v>
      </c>
      <c r="S104" s="153">
        <v>57421.103920000001</v>
      </c>
      <c r="T104" s="152">
        <v>143561.90100000001</v>
      </c>
      <c r="U104" s="152"/>
      <c r="V104" s="152">
        <v>131456.83455</v>
      </c>
      <c r="W104" s="152"/>
      <c r="X104" s="152">
        <v>55804.213759999999</v>
      </c>
      <c r="Y104" s="152">
        <v>55804.213759999999</v>
      </c>
      <c r="Z104" s="152">
        <f>V104-X104</f>
        <v>75652.620790000001</v>
      </c>
      <c r="AA104" s="152">
        <v>99010</v>
      </c>
      <c r="AB104" s="152">
        <v>80000</v>
      </c>
      <c r="AC104" s="152">
        <v>120000</v>
      </c>
      <c r="AD104" s="170">
        <v>268403.22246999998</v>
      </c>
      <c r="AE104" s="170">
        <v>527242.31299999997</v>
      </c>
      <c r="AF104" s="169"/>
      <c r="AG104" s="169"/>
      <c r="AH104" s="218" t="s">
        <v>247</v>
      </c>
      <c r="AI104" s="221"/>
      <c r="AJ104" s="222"/>
      <c r="AK104" s="230">
        <v>47114</v>
      </c>
      <c r="AL104" s="230">
        <v>46768</v>
      </c>
      <c r="AM104" s="230">
        <v>47089</v>
      </c>
      <c r="AN104" s="74">
        <f t="shared" si="87"/>
        <v>-2.6000000070780516E-4</v>
      </c>
    </row>
    <row r="105" spans="1:40" ht="50.25" customHeight="1" x14ac:dyDescent="0.35">
      <c r="A105" s="57"/>
      <c r="B105" s="66" t="s">
        <v>175</v>
      </c>
      <c r="C105" s="63"/>
      <c r="D105" s="145">
        <f>SUM(D106:D110)</f>
        <v>2464867.6937499996</v>
      </c>
      <c r="E105" s="171"/>
      <c r="F105" s="145">
        <f>SUM(F106:F110)</f>
        <v>738575.32282999996</v>
      </c>
      <c r="G105" s="135">
        <f t="shared" si="65"/>
        <v>0.29964096032527671</v>
      </c>
      <c r="H105" s="145">
        <f>SUM(H106:H110)</f>
        <v>353064.48888000002</v>
      </c>
      <c r="I105" s="136">
        <f t="shared" si="64"/>
        <v>0.47803450503485873</v>
      </c>
      <c r="J105" s="145">
        <f t="shared" ref="J105:K105" si="92">SUM(J106:J110)</f>
        <v>135554.30133000002</v>
      </c>
      <c r="K105" s="145">
        <f t="shared" si="92"/>
        <v>291525.87524000002</v>
      </c>
      <c r="L105" s="135">
        <f>K105/H105</f>
        <v>0.82570149199877241</v>
      </c>
      <c r="M105" s="145">
        <f>SUM(M106:M110)</f>
        <v>514788.78363999992</v>
      </c>
      <c r="N105" s="136">
        <f t="shared" ref="N105:N114" si="93">M105/D105</f>
        <v>0.20885047296668924</v>
      </c>
      <c r="O105" s="145">
        <f>SUM(O106:O110)</f>
        <v>223262.90846000001</v>
      </c>
      <c r="P105" s="136">
        <f t="shared" ref="P105:P114" si="94">O105/D105</f>
        <v>9.0578049696587309E-2</v>
      </c>
      <c r="Q105" s="145">
        <f t="shared" ref="Q105:AG105" si="95">SUM(Q106:Q110)</f>
        <v>0</v>
      </c>
      <c r="R105" s="145">
        <f t="shared" si="95"/>
        <v>135554.30153</v>
      </c>
      <c r="S105" s="147">
        <f t="shared" si="95"/>
        <v>278608.06453999999</v>
      </c>
      <c r="T105" s="145">
        <f>SUM(T106:T110)</f>
        <v>553062.59400000004</v>
      </c>
      <c r="U105" s="145">
        <f>SUM(U106:U110)</f>
        <v>31425.429</v>
      </c>
      <c r="V105" s="145">
        <f t="shared" si="95"/>
        <v>454711.56927000004</v>
      </c>
      <c r="W105" s="145">
        <f t="shared" si="95"/>
        <v>374000</v>
      </c>
      <c r="X105" s="145">
        <f t="shared" si="95"/>
        <v>319333.63086999999</v>
      </c>
      <c r="Y105" s="145">
        <f t="shared" si="95"/>
        <v>186480.72505000001</v>
      </c>
      <c r="Z105" s="145">
        <f t="shared" si="95"/>
        <v>135377.93839999998</v>
      </c>
      <c r="AA105" s="145">
        <f t="shared" si="95"/>
        <v>364387.28252000001</v>
      </c>
      <c r="AB105" s="145">
        <f t="shared" si="95"/>
        <v>573157.44550999999</v>
      </c>
      <c r="AC105" s="145">
        <f t="shared" si="95"/>
        <v>781526.37100000004</v>
      </c>
      <c r="AD105" s="145">
        <f t="shared" si="95"/>
        <v>1241543.1565</v>
      </c>
      <c r="AE105" s="145">
        <f t="shared" si="95"/>
        <v>1280000</v>
      </c>
      <c r="AF105" s="145">
        <f t="shared" si="95"/>
        <v>0</v>
      </c>
      <c r="AG105" s="145">
        <f t="shared" si="95"/>
        <v>0</v>
      </c>
      <c r="AH105" s="213"/>
      <c r="AI105" s="210"/>
      <c r="AJ105" s="211"/>
      <c r="AK105" s="213"/>
      <c r="AL105" s="213"/>
      <c r="AM105" s="213"/>
      <c r="AN105" s="74">
        <f t="shared" si="87"/>
        <v>0.36969999969005585</v>
      </c>
    </row>
    <row r="106" spans="1:40" ht="93" x14ac:dyDescent="0.25">
      <c r="A106" s="122">
        <v>1</v>
      </c>
      <c r="B106" s="117" t="s">
        <v>178</v>
      </c>
      <c r="C106" s="100" t="s">
        <v>179</v>
      </c>
      <c r="D106" s="148">
        <v>465608.27500000002</v>
      </c>
      <c r="E106" s="149" t="s">
        <v>22</v>
      </c>
      <c r="F106" s="148">
        <v>138797.49799999999</v>
      </c>
      <c r="G106" s="150">
        <f>F106/D106</f>
        <v>0.29809929387530748</v>
      </c>
      <c r="H106" s="152">
        <v>138797.49754000001</v>
      </c>
      <c r="I106" s="151">
        <f>H106/F106</f>
        <v>0.9999999966858194</v>
      </c>
      <c r="J106" s="152">
        <v>123051.6588</v>
      </c>
      <c r="K106" s="173">
        <v>89632.335900000005</v>
      </c>
      <c r="L106" s="150">
        <f>K106/H106</f>
        <v>0.64577775167862006</v>
      </c>
      <c r="M106" s="148">
        <v>271650.40336</v>
      </c>
      <c r="N106" s="151">
        <f>M106/D106</f>
        <v>0.58343121878579152</v>
      </c>
      <c r="O106" s="152">
        <v>182018.06745999999</v>
      </c>
      <c r="P106" s="151">
        <f>O106/D106</f>
        <v>0.39092532764801052</v>
      </c>
      <c r="Q106" s="152">
        <v>0</v>
      </c>
      <c r="R106" s="152">
        <v>123051.659</v>
      </c>
      <c r="S106" s="153">
        <v>90000</v>
      </c>
      <c r="T106" s="152">
        <v>207457.95</v>
      </c>
      <c r="U106" s="152">
        <v>31425.429</v>
      </c>
      <c r="V106" s="152">
        <v>167333.88587</v>
      </c>
      <c r="W106" s="152"/>
      <c r="X106" s="152">
        <v>146719.91506</v>
      </c>
      <c r="Y106" s="149">
        <v>13867.009239999999</v>
      </c>
      <c r="Z106" s="152">
        <f>V106-X106</f>
        <v>20613.970809999999</v>
      </c>
      <c r="AA106" s="152">
        <v>216395.56015</v>
      </c>
      <c r="AB106" s="152">
        <v>173343.90135</v>
      </c>
      <c r="AC106" s="152">
        <v>177750.861</v>
      </c>
      <c r="AD106" s="169"/>
      <c r="AE106" s="169"/>
      <c r="AF106" s="169"/>
      <c r="AG106" s="169"/>
      <c r="AH106" s="214">
        <v>0.34</v>
      </c>
      <c r="AI106" s="215">
        <v>0.49</v>
      </c>
      <c r="AJ106" s="215" t="s">
        <v>259</v>
      </c>
      <c r="AK106" s="230">
        <v>46748</v>
      </c>
      <c r="AL106" s="230">
        <v>46483</v>
      </c>
      <c r="AM106" s="230">
        <v>46483</v>
      </c>
      <c r="AN106" s="74">
        <f t="shared" si="87"/>
        <v>-5.1999997231177986E-4</v>
      </c>
    </row>
    <row r="107" spans="1:40" ht="139.5" x14ac:dyDescent="0.25">
      <c r="A107" s="122">
        <v>2</v>
      </c>
      <c r="B107" s="117" t="s">
        <v>176</v>
      </c>
      <c r="C107" s="100" t="s">
        <v>177</v>
      </c>
      <c r="D107" s="148">
        <v>97170.012000000002</v>
      </c>
      <c r="E107" s="152" t="s">
        <v>17</v>
      </c>
      <c r="F107" s="148">
        <v>29151.003000000001</v>
      </c>
      <c r="G107" s="150">
        <f t="shared" si="65"/>
        <v>0.2999999938252555</v>
      </c>
      <c r="H107" s="148">
        <v>29151.003000000001</v>
      </c>
      <c r="I107" s="151">
        <f t="shared" si="64"/>
        <v>1</v>
      </c>
      <c r="J107" s="152">
        <v>0</v>
      </c>
      <c r="K107" s="152">
        <v>16777.550999999999</v>
      </c>
      <c r="L107" s="150">
        <f>K107/H107</f>
        <v>0.57553940768350231</v>
      </c>
      <c r="M107" s="148">
        <v>58022.392</v>
      </c>
      <c r="N107" s="151">
        <f t="shared" si="93"/>
        <v>0.59712241262252796</v>
      </c>
      <c r="O107" s="152">
        <v>41244.841</v>
      </c>
      <c r="P107" s="151">
        <f t="shared" si="94"/>
        <v>0.42446059387128615</v>
      </c>
      <c r="Q107" s="152">
        <v>0</v>
      </c>
      <c r="R107" s="152">
        <v>0</v>
      </c>
      <c r="S107" s="153">
        <v>10402.576359999999</v>
      </c>
      <c r="T107" s="152">
        <v>43092.942999999999</v>
      </c>
      <c r="U107" s="152"/>
      <c r="V107" s="152">
        <v>39147.619879999998</v>
      </c>
      <c r="W107" s="152"/>
      <c r="X107" s="152"/>
      <c r="Y107" s="152"/>
      <c r="Z107" s="152">
        <f>V107-X107</f>
        <v>39147.619879999998</v>
      </c>
      <c r="AA107" s="152"/>
      <c r="AB107" s="152"/>
      <c r="AC107" s="152"/>
      <c r="AD107" s="169"/>
      <c r="AE107" s="169"/>
      <c r="AF107" s="169"/>
      <c r="AG107" s="169"/>
      <c r="AH107" s="214">
        <v>0.98</v>
      </c>
      <c r="AI107" s="215">
        <v>1</v>
      </c>
      <c r="AJ107" s="215" t="s">
        <v>259</v>
      </c>
      <c r="AK107" s="230">
        <v>46748</v>
      </c>
      <c r="AL107" s="230">
        <v>44742</v>
      </c>
      <c r="AM107" s="230">
        <v>46142</v>
      </c>
      <c r="AN107" s="74">
        <f t="shared" si="87"/>
        <v>1.2000000424450263E-4</v>
      </c>
    </row>
    <row r="108" spans="1:40" ht="139.5" x14ac:dyDescent="0.35">
      <c r="A108" s="122">
        <v>3</v>
      </c>
      <c r="B108" s="117" t="s">
        <v>180</v>
      </c>
      <c r="C108" s="100" t="s">
        <v>181</v>
      </c>
      <c r="D108" s="148">
        <v>1414078.9519999998</v>
      </c>
      <c r="E108" s="149" t="s">
        <v>22</v>
      </c>
      <c r="F108" s="148">
        <v>424223.685</v>
      </c>
      <c r="G108" s="150">
        <f t="shared" si="65"/>
        <v>0.29999999957569556</v>
      </c>
      <c r="H108" s="148">
        <v>68260.368470000001</v>
      </c>
      <c r="I108" s="151">
        <f t="shared" si="64"/>
        <v>0.16090654737959764</v>
      </c>
      <c r="J108" s="152">
        <v>8260.7384700000002</v>
      </c>
      <c r="K108" s="152">
        <v>68260.368470000001</v>
      </c>
      <c r="L108" s="150">
        <f>K108/H108</f>
        <v>1</v>
      </c>
      <c r="M108" s="148">
        <v>68260.368470000001</v>
      </c>
      <c r="N108" s="151">
        <f t="shared" si="93"/>
        <v>4.8271964145605931E-2</v>
      </c>
      <c r="O108" s="152">
        <v>0</v>
      </c>
      <c r="P108" s="151">
        <f t="shared" si="94"/>
        <v>0</v>
      </c>
      <c r="Q108" s="152">
        <v>0</v>
      </c>
      <c r="R108" s="152">
        <v>8260.7384700000002</v>
      </c>
      <c r="S108" s="153">
        <v>118307.71205</v>
      </c>
      <c r="T108" s="152">
        <v>111739.262</v>
      </c>
      <c r="U108" s="152"/>
      <c r="V108" s="152">
        <v>79275.056429999997</v>
      </c>
      <c r="W108" s="154">
        <v>211000</v>
      </c>
      <c r="X108" s="152">
        <v>60000</v>
      </c>
      <c r="Y108" s="152">
        <v>60000</v>
      </c>
      <c r="Z108" s="152">
        <f>V108-X108</f>
        <v>19275.056429999997</v>
      </c>
      <c r="AA108" s="152">
        <v>99500</v>
      </c>
      <c r="AB108" s="152">
        <v>85000</v>
      </c>
      <c r="AC108" s="152">
        <v>100000</v>
      </c>
      <c r="AD108" s="152">
        <v>1241543.1565</v>
      </c>
      <c r="AE108" s="152">
        <v>1280000</v>
      </c>
      <c r="AF108" s="169"/>
      <c r="AG108" s="169"/>
      <c r="AH108" s="223" t="s">
        <v>247</v>
      </c>
      <c r="AI108" s="221"/>
      <c r="AJ108" s="222"/>
      <c r="AK108" s="230">
        <v>47114</v>
      </c>
      <c r="AL108" s="230">
        <v>47114</v>
      </c>
      <c r="AM108" s="230">
        <v>47078</v>
      </c>
      <c r="AN108" s="74">
        <f t="shared" si="87"/>
        <v>0.37059999955818057</v>
      </c>
    </row>
    <row r="109" spans="1:40" ht="93" x14ac:dyDescent="0.35">
      <c r="A109" s="122">
        <v>4</v>
      </c>
      <c r="B109" s="117" t="s">
        <v>182</v>
      </c>
      <c r="C109" s="100" t="s">
        <v>183</v>
      </c>
      <c r="D109" s="148">
        <v>112631.402</v>
      </c>
      <c r="E109" s="149" t="s">
        <v>22</v>
      </c>
      <c r="F109" s="148">
        <v>33789.421000000002</v>
      </c>
      <c r="G109" s="150">
        <f t="shared" si="65"/>
        <v>0.30000000355140743</v>
      </c>
      <c r="H109" s="152">
        <v>4241.9040599999998</v>
      </c>
      <c r="I109" s="151">
        <f t="shared" si="64"/>
        <v>0.1255394124687724</v>
      </c>
      <c r="J109" s="152">
        <v>4241.9040599999998</v>
      </c>
      <c r="K109" s="152">
        <v>4241.9040599999998</v>
      </c>
      <c r="L109" s="150">
        <f>K109/H109</f>
        <v>1</v>
      </c>
      <c r="M109" s="148">
        <v>4241.9040000000005</v>
      </c>
      <c r="N109" s="151">
        <f t="shared" si="93"/>
        <v>3.7661823653762208E-2</v>
      </c>
      <c r="O109" s="152">
        <v>0</v>
      </c>
      <c r="P109" s="151">
        <f t="shared" si="94"/>
        <v>0</v>
      </c>
      <c r="Q109" s="152">
        <v>0</v>
      </c>
      <c r="R109" s="152">
        <v>4241.9040599999998</v>
      </c>
      <c r="S109" s="153">
        <v>59897.776129999998</v>
      </c>
      <c r="T109" s="152">
        <v>53758.095999999998</v>
      </c>
      <c r="U109" s="152"/>
      <c r="V109" s="152">
        <v>44897.776129999998</v>
      </c>
      <c r="W109" s="152"/>
      <c r="X109" s="152"/>
      <c r="Y109" s="152"/>
      <c r="Z109" s="152">
        <f>V109-X109</f>
        <v>44897.776129999998</v>
      </c>
      <c r="AA109" s="152">
        <v>48491.722370000003</v>
      </c>
      <c r="AB109" s="152">
        <v>63491.722370000003</v>
      </c>
      <c r="AC109" s="152">
        <v>72000</v>
      </c>
      <c r="AD109" s="169"/>
      <c r="AE109" s="169"/>
      <c r="AF109" s="169"/>
      <c r="AG109" s="169"/>
      <c r="AH109" s="218" t="s">
        <v>247</v>
      </c>
      <c r="AI109" s="221"/>
      <c r="AJ109" s="222"/>
      <c r="AK109" s="230">
        <v>46744</v>
      </c>
      <c r="AL109" s="230">
        <v>46744</v>
      </c>
      <c r="AM109" s="230">
        <v>46730</v>
      </c>
      <c r="AN109" s="74">
        <f t="shared" si="87"/>
        <v>-4.999999946448952E-4</v>
      </c>
    </row>
    <row r="110" spans="1:40" ht="139.5" x14ac:dyDescent="0.35">
      <c r="A110" s="122">
        <v>5</v>
      </c>
      <c r="B110" s="117" t="s">
        <v>235</v>
      </c>
      <c r="C110" s="100" t="s">
        <v>236</v>
      </c>
      <c r="D110" s="148">
        <v>375379.05274999997</v>
      </c>
      <c r="E110" s="149" t="s">
        <v>22</v>
      </c>
      <c r="F110" s="148">
        <v>112613.71583</v>
      </c>
      <c r="G110" s="150">
        <f t="shared" si="65"/>
        <v>0.30000000001331989</v>
      </c>
      <c r="H110" s="152">
        <v>112613.71580999999</v>
      </c>
      <c r="I110" s="151">
        <f t="shared" si="64"/>
        <v>0.99999999982240173</v>
      </c>
      <c r="J110" s="152">
        <v>0</v>
      </c>
      <c r="K110" s="152">
        <v>112613.71580999999</v>
      </c>
      <c r="L110" s="150">
        <v>1</v>
      </c>
      <c r="M110" s="148">
        <v>112613.71580999999</v>
      </c>
      <c r="N110" s="151">
        <f t="shared" si="93"/>
        <v>0.2999999999600404</v>
      </c>
      <c r="O110" s="152">
        <v>0</v>
      </c>
      <c r="P110" s="151">
        <f t="shared" si="94"/>
        <v>0</v>
      </c>
      <c r="Q110" s="152">
        <v>0</v>
      </c>
      <c r="R110" s="152">
        <v>0</v>
      </c>
      <c r="S110" s="153">
        <v>0</v>
      </c>
      <c r="T110" s="152">
        <v>137014.34299999999</v>
      </c>
      <c r="U110" s="152"/>
      <c r="V110" s="152">
        <v>124057.23096</v>
      </c>
      <c r="W110" s="154">
        <v>163000</v>
      </c>
      <c r="X110" s="152">
        <v>112613.71581000001</v>
      </c>
      <c r="Y110" s="154">
        <v>112613.71580999999</v>
      </c>
      <c r="Z110" s="152">
        <f>V110-X110</f>
        <v>11443.515149999992</v>
      </c>
      <c r="AA110" s="152">
        <v>0</v>
      </c>
      <c r="AB110" s="152">
        <v>251321.82178999999</v>
      </c>
      <c r="AC110" s="152">
        <v>431775.51</v>
      </c>
      <c r="AD110" s="169"/>
      <c r="AE110" s="169"/>
      <c r="AF110" s="169"/>
      <c r="AG110" s="169"/>
      <c r="AH110" s="218" t="s">
        <v>247</v>
      </c>
      <c r="AI110" s="221"/>
      <c r="AJ110" s="222"/>
      <c r="AK110" s="230">
        <v>46748</v>
      </c>
      <c r="AL110" s="230">
        <v>46748</v>
      </c>
      <c r="AM110" s="230">
        <v>46762</v>
      </c>
      <c r="AN110" s="74">
        <f t="shared" si="87"/>
        <v>-2.9103830456733704E-11</v>
      </c>
    </row>
    <row r="111" spans="1:40" ht="48" customHeight="1" x14ac:dyDescent="0.35">
      <c r="A111" s="57"/>
      <c r="B111" s="66" t="s">
        <v>184</v>
      </c>
      <c r="C111" s="63"/>
      <c r="D111" s="145">
        <f>SUM(D112:D114)</f>
        <v>7283697.7029999997</v>
      </c>
      <c r="E111" s="171"/>
      <c r="F111" s="145">
        <f>SUM(F112:F114)</f>
        <v>934465.50399999996</v>
      </c>
      <c r="G111" s="135">
        <f t="shared" si="65"/>
        <v>0.12829548151279171</v>
      </c>
      <c r="H111" s="145">
        <f>SUM(H112:H114)</f>
        <v>118232.85270999999</v>
      </c>
      <c r="I111" s="136">
        <f t="shared" si="64"/>
        <v>0.12652457710199219</v>
      </c>
      <c r="J111" s="145">
        <f>SUM(J112:J114)</f>
        <v>45015.506600000001</v>
      </c>
      <c r="K111" s="145">
        <f>SUM(K112:K114)</f>
        <v>118232.85270999999</v>
      </c>
      <c r="L111" s="135">
        <f>K111/H111</f>
        <v>1</v>
      </c>
      <c r="M111" s="145">
        <f>SUM(M112:M114)</f>
        <v>118232.85291999999</v>
      </c>
      <c r="N111" s="136">
        <f t="shared" si="93"/>
        <v>1.623253157133394E-2</v>
      </c>
      <c r="O111" s="145">
        <f>SUM(O112:O114)</f>
        <v>0</v>
      </c>
      <c r="P111" s="136">
        <f t="shared" si="94"/>
        <v>0</v>
      </c>
      <c r="Q111" s="145">
        <f t="shared" ref="Q111:AG111" si="96">SUM(Q112:Q114)</f>
        <v>0</v>
      </c>
      <c r="R111" s="145">
        <f t="shared" si="96"/>
        <v>45015.506600000001</v>
      </c>
      <c r="S111" s="147">
        <f t="shared" si="96"/>
        <v>1496211.30167</v>
      </c>
      <c r="T111" s="145">
        <f>SUM(T112:T114)</f>
        <v>2265628.3930000002</v>
      </c>
      <c r="U111" s="145">
        <f>SUM(U112:U114)</f>
        <v>115140.49100000001</v>
      </c>
      <c r="V111" s="145">
        <f t="shared" si="96"/>
        <v>2034560.5634299999</v>
      </c>
      <c r="W111" s="145">
        <f t="shared" si="96"/>
        <v>0</v>
      </c>
      <c r="X111" s="145">
        <f t="shared" si="96"/>
        <v>73217.346109999999</v>
      </c>
      <c r="Y111" s="145">
        <f t="shared" si="96"/>
        <v>73217.346109999999</v>
      </c>
      <c r="Z111" s="145">
        <f t="shared" si="96"/>
        <v>1961343.2173199998</v>
      </c>
      <c r="AA111" s="145">
        <f t="shared" si="96"/>
        <v>5523664.1496099997</v>
      </c>
      <c r="AB111" s="145">
        <f t="shared" si="96"/>
        <v>5067170.5799000002</v>
      </c>
      <c r="AC111" s="145">
        <f t="shared" si="96"/>
        <v>6623333.2230000002</v>
      </c>
      <c r="AD111" s="145">
        <f t="shared" si="96"/>
        <v>336912.34655000002</v>
      </c>
      <c r="AE111" s="145">
        <f t="shared" si="96"/>
        <v>338038.74599999998</v>
      </c>
      <c r="AF111" s="145">
        <f t="shared" si="96"/>
        <v>0</v>
      </c>
      <c r="AG111" s="145">
        <f t="shared" si="96"/>
        <v>0</v>
      </c>
      <c r="AH111" s="213"/>
      <c r="AI111" s="210"/>
      <c r="AJ111" s="211"/>
      <c r="AK111" s="213"/>
      <c r="AL111" s="213"/>
      <c r="AM111" s="213"/>
      <c r="AN111" s="74">
        <f t="shared" si="87"/>
        <v>-199961.29369000078</v>
      </c>
    </row>
    <row r="112" spans="1:40" ht="116.25" x14ac:dyDescent="0.25">
      <c r="A112" s="122">
        <v>1</v>
      </c>
      <c r="B112" s="117" t="s">
        <v>185</v>
      </c>
      <c r="C112" s="100" t="s">
        <v>186</v>
      </c>
      <c r="D112" s="148">
        <v>2969691.5290000001</v>
      </c>
      <c r="E112" s="149" t="s">
        <v>22</v>
      </c>
      <c r="F112" s="148">
        <v>296969.15299999999</v>
      </c>
      <c r="G112" s="150">
        <f t="shared" si="65"/>
        <v>0.10000000003367353</v>
      </c>
      <c r="H112" s="152">
        <v>62840.004809999999</v>
      </c>
      <c r="I112" s="151">
        <f t="shared" si="64"/>
        <v>0.21160448543286919</v>
      </c>
      <c r="J112" s="152">
        <v>7840.0048100000004</v>
      </c>
      <c r="K112" s="152">
        <v>62840.004809999999</v>
      </c>
      <c r="L112" s="150">
        <f t="shared" ref="L112:L113" si="97">K112/H112</f>
        <v>1</v>
      </c>
      <c r="M112" s="152">
        <v>62840.004809999999</v>
      </c>
      <c r="N112" s="151">
        <f t="shared" si="93"/>
        <v>2.1160448550412388E-2</v>
      </c>
      <c r="O112" s="152">
        <v>0</v>
      </c>
      <c r="P112" s="151">
        <f t="shared" si="94"/>
        <v>0</v>
      </c>
      <c r="Q112" s="152">
        <v>0</v>
      </c>
      <c r="R112" s="152">
        <v>7840.0048100000004</v>
      </c>
      <c r="S112" s="153">
        <v>120560.04333</v>
      </c>
      <c r="T112" s="152">
        <v>389027.19500000001</v>
      </c>
      <c r="U112" s="152">
        <v>23140.491000000002</v>
      </c>
      <c r="V112" s="152">
        <v>320560.04333000001</v>
      </c>
      <c r="W112" s="152"/>
      <c r="X112" s="152">
        <v>55000</v>
      </c>
      <c r="Y112" s="152">
        <v>55000</v>
      </c>
      <c r="Z112" s="152">
        <f>V112-X112</f>
        <v>265560.04333000001</v>
      </c>
      <c r="AA112" s="152">
        <v>2841291.4811399998</v>
      </c>
      <c r="AB112" s="152">
        <v>2641291.4811399998</v>
      </c>
      <c r="AC112" s="152">
        <v>2861706.6230000001</v>
      </c>
      <c r="AD112" s="169"/>
      <c r="AE112" s="169"/>
      <c r="AF112" s="169"/>
      <c r="AG112" s="169"/>
      <c r="AH112" s="218" t="s">
        <v>247</v>
      </c>
      <c r="AI112" s="215">
        <v>0.95</v>
      </c>
      <c r="AJ112" s="215" t="s">
        <v>259</v>
      </c>
      <c r="AK112" s="230">
        <v>46748</v>
      </c>
      <c r="AL112" s="230">
        <v>47114</v>
      </c>
      <c r="AM112" s="230">
        <v>46724</v>
      </c>
      <c r="AN112" s="74">
        <f t="shared" si="87"/>
        <v>-2.7999933809041977E-4</v>
      </c>
    </row>
    <row r="113" spans="1:40" ht="139.5" x14ac:dyDescent="0.25">
      <c r="A113" s="122">
        <v>2</v>
      </c>
      <c r="B113" s="117" t="s">
        <v>187</v>
      </c>
      <c r="C113" s="100" t="s">
        <v>188</v>
      </c>
      <c r="D113" s="148">
        <v>515239.33399999997</v>
      </c>
      <c r="E113" s="149" t="s">
        <v>22</v>
      </c>
      <c r="F113" s="148">
        <v>257619.66699999999</v>
      </c>
      <c r="G113" s="150">
        <f t="shared" si="65"/>
        <v>0.5</v>
      </c>
      <c r="H113" s="148">
        <v>37175.501790000002</v>
      </c>
      <c r="I113" s="151">
        <f t="shared" si="64"/>
        <v>0.14430381897046704</v>
      </c>
      <c r="J113" s="152">
        <v>37175.501790000002</v>
      </c>
      <c r="K113" s="152">
        <v>37175.501790000002</v>
      </c>
      <c r="L113" s="150">
        <f t="shared" si="97"/>
        <v>1</v>
      </c>
      <c r="M113" s="148">
        <v>37175.502</v>
      </c>
      <c r="N113" s="151">
        <f t="shared" si="93"/>
        <v>7.2151909892811103E-2</v>
      </c>
      <c r="O113" s="152">
        <v>0</v>
      </c>
      <c r="P113" s="151">
        <f t="shared" si="94"/>
        <v>0</v>
      </c>
      <c r="Q113" s="152">
        <v>0</v>
      </c>
      <c r="R113" s="152">
        <v>37175.501790000002</v>
      </c>
      <c r="S113" s="153">
        <v>125474.43307</v>
      </c>
      <c r="T113" s="152">
        <v>396050.54200000002</v>
      </c>
      <c r="U113" s="152">
        <v>92000</v>
      </c>
      <c r="V113" s="152">
        <v>246112.77901</v>
      </c>
      <c r="W113" s="152"/>
      <c r="X113" s="152"/>
      <c r="Y113" s="152"/>
      <c r="Z113" s="152">
        <f>V113-X113</f>
        <v>246112.77901</v>
      </c>
      <c r="AA113" s="152">
        <v>152000</v>
      </c>
      <c r="AB113" s="152">
        <v>95000</v>
      </c>
      <c r="AC113" s="152">
        <v>100000</v>
      </c>
      <c r="AD113" s="152">
        <v>336912.34655000002</v>
      </c>
      <c r="AE113" s="152">
        <v>338038.74599999998</v>
      </c>
      <c r="AF113" s="169"/>
      <c r="AG113" s="169"/>
      <c r="AH113" s="219" t="s">
        <v>247</v>
      </c>
      <c r="AI113" s="215">
        <v>0</v>
      </c>
      <c r="AJ113" s="215" t="s">
        <v>259</v>
      </c>
      <c r="AK113" s="230">
        <v>47114</v>
      </c>
      <c r="AL113" s="230">
        <v>46920</v>
      </c>
      <c r="AM113" s="230">
        <v>46783</v>
      </c>
      <c r="AN113" s="74">
        <f t="shared" si="87"/>
        <v>-199961.29356000002</v>
      </c>
    </row>
    <row r="114" spans="1:40" ht="162.75" x14ac:dyDescent="0.25">
      <c r="A114" s="122">
        <v>3</v>
      </c>
      <c r="B114" s="117" t="s">
        <v>189</v>
      </c>
      <c r="C114" s="100" t="s">
        <v>190</v>
      </c>
      <c r="D114" s="148">
        <v>3798766.8400000003</v>
      </c>
      <c r="E114" s="149" t="s">
        <v>22</v>
      </c>
      <c r="F114" s="148">
        <v>379876.68400000001</v>
      </c>
      <c r="G114" s="150">
        <f t="shared" si="65"/>
        <v>9.9999999999999992E-2</v>
      </c>
      <c r="H114" s="148">
        <v>18217.346109999999</v>
      </c>
      <c r="I114" s="151">
        <f t="shared" si="64"/>
        <v>4.7955946961988322E-2</v>
      </c>
      <c r="J114" s="152">
        <v>0</v>
      </c>
      <c r="K114" s="148">
        <v>18217.346109999999</v>
      </c>
      <c r="L114" s="150">
        <v>0</v>
      </c>
      <c r="M114" s="148">
        <v>18217.346109999999</v>
      </c>
      <c r="N114" s="151">
        <f t="shared" si="93"/>
        <v>4.7955946961988323E-3</v>
      </c>
      <c r="O114" s="152">
        <v>0</v>
      </c>
      <c r="P114" s="151">
        <f t="shared" si="94"/>
        <v>0</v>
      </c>
      <c r="Q114" s="152">
        <v>0</v>
      </c>
      <c r="R114" s="152">
        <v>0</v>
      </c>
      <c r="S114" s="153">
        <v>1250176.8252699999</v>
      </c>
      <c r="T114" s="152">
        <v>1480550.656</v>
      </c>
      <c r="U114" s="152"/>
      <c r="V114" s="152">
        <v>1467887.7410899999</v>
      </c>
      <c r="W114" s="152"/>
      <c r="X114" s="148">
        <v>18217.346109999999</v>
      </c>
      <c r="Y114" s="148">
        <v>18217.346109999999</v>
      </c>
      <c r="Z114" s="152">
        <f>V114-X114</f>
        <v>1449670.3949799999</v>
      </c>
      <c r="AA114" s="152">
        <v>2530372.6684699999</v>
      </c>
      <c r="AB114" s="152">
        <v>2330879.09876</v>
      </c>
      <c r="AC114" s="152">
        <v>3661626.6</v>
      </c>
      <c r="AD114" s="169"/>
      <c r="AE114" s="169"/>
      <c r="AF114" s="169"/>
      <c r="AG114" s="169"/>
      <c r="AH114" s="218" t="s">
        <v>247</v>
      </c>
      <c r="AI114" s="215">
        <v>0.15</v>
      </c>
      <c r="AJ114" s="215" t="s">
        <v>259</v>
      </c>
      <c r="AK114" s="230">
        <v>46748</v>
      </c>
      <c r="AL114" s="230">
        <v>47207</v>
      </c>
      <c r="AM114" s="230">
        <v>47452</v>
      </c>
      <c r="AN114" s="74">
        <f t="shared" si="87"/>
        <v>1.500006765127182E-4</v>
      </c>
    </row>
    <row r="115" spans="1:40" ht="50.25" customHeight="1" x14ac:dyDescent="0.35">
      <c r="A115" s="57"/>
      <c r="B115" s="66" t="s">
        <v>191</v>
      </c>
      <c r="C115" s="63"/>
      <c r="D115" s="145">
        <f>D116</f>
        <v>188607.68400000001</v>
      </c>
      <c r="E115" s="171"/>
      <c r="F115" s="145">
        <f>F116</f>
        <v>54344.157630000002</v>
      </c>
      <c r="G115" s="135">
        <f t="shared" si="65"/>
        <v>0.2881333171452336</v>
      </c>
      <c r="H115" s="145">
        <f>H116</f>
        <v>54344.157630000002</v>
      </c>
      <c r="I115" s="136">
        <f t="shared" si="64"/>
        <v>1</v>
      </c>
      <c r="J115" s="145">
        <f>J116</f>
        <v>54344.157630000002</v>
      </c>
      <c r="K115" s="145">
        <f>K116</f>
        <v>0</v>
      </c>
      <c r="L115" s="135">
        <f t="shared" ref="L115:L121" si="98">K115/H115</f>
        <v>0</v>
      </c>
      <c r="M115" s="145">
        <f>M116</f>
        <v>182870.79426</v>
      </c>
      <c r="N115" s="136">
        <f t="shared" ref="N115:N121" si="99">M115/D115</f>
        <v>0.96958294795666966</v>
      </c>
      <c r="O115" s="145">
        <f>O116</f>
        <v>183645.59074000001</v>
      </c>
      <c r="P115" s="136">
        <f t="shared" ref="P115:P121" si="100">O115/D115</f>
        <v>0.97369092735373397</v>
      </c>
      <c r="Q115" s="145">
        <f t="shared" ref="Q115:AG115" si="101">Q116</f>
        <v>25324.633000000002</v>
      </c>
      <c r="R115" s="145">
        <f t="shared" si="101"/>
        <v>70171.025999999998</v>
      </c>
      <c r="S115" s="147">
        <f t="shared" si="101"/>
        <v>114943.61416</v>
      </c>
      <c r="T115" s="145">
        <f>T116</f>
        <v>120716.465</v>
      </c>
      <c r="U115" s="145">
        <f>U116</f>
        <v>0</v>
      </c>
      <c r="V115" s="145">
        <f t="shared" si="101"/>
        <v>109985.85919</v>
      </c>
      <c r="W115" s="145">
        <f t="shared" si="101"/>
        <v>0</v>
      </c>
      <c r="X115" s="145">
        <f t="shared" si="101"/>
        <v>109206.72435999999</v>
      </c>
      <c r="Y115" s="145">
        <f t="shared" si="101"/>
        <v>0</v>
      </c>
      <c r="Z115" s="145">
        <f t="shared" si="101"/>
        <v>779.13483000000997</v>
      </c>
      <c r="AA115" s="145">
        <f t="shared" si="101"/>
        <v>0</v>
      </c>
      <c r="AB115" s="145">
        <f t="shared" si="101"/>
        <v>4957.75497</v>
      </c>
      <c r="AC115" s="145">
        <f t="shared" si="101"/>
        <v>125718.223</v>
      </c>
      <c r="AD115" s="145">
        <f t="shared" si="101"/>
        <v>0</v>
      </c>
      <c r="AE115" s="145">
        <f t="shared" si="101"/>
        <v>0</v>
      </c>
      <c r="AF115" s="145">
        <f t="shared" si="101"/>
        <v>0</v>
      </c>
      <c r="AG115" s="145">
        <f t="shared" si="101"/>
        <v>0</v>
      </c>
      <c r="AH115" s="213"/>
      <c r="AI115" s="210"/>
      <c r="AJ115" s="211"/>
      <c r="AK115" s="213"/>
      <c r="AL115" s="213"/>
      <c r="AM115" s="213"/>
      <c r="AN115" s="74">
        <f t="shared" si="87"/>
        <v>-5.9999996665283106E-5</v>
      </c>
    </row>
    <row r="116" spans="1:40" ht="186" x14ac:dyDescent="0.35">
      <c r="A116" s="122">
        <v>1</v>
      </c>
      <c r="B116" s="117" t="s">
        <v>192</v>
      </c>
      <c r="C116" s="100" t="s">
        <v>193</v>
      </c>
      <c r="D116" s="148">
        <v>188607.68400000001</v>
      </c>
      <c r="E116" s="149" t="s">
        <v>22</v>
      </c>
      <c r="F116" s="152">
        <v>54344.157630000002</v>
      </c>
      <c r="G116" s="150">
        <f t="shared" si="65"/>
        <v>0.2881333171452336</v>
      </c>
      <c r="H116" s="152">
        <v>54344.157630000002</v>
      </c>
      <c r="I116" s="151">
        <f t="shared" si="64"/>
        <v>1</v>
      </c>
      <c r="J116" s="152">
        <v>54344.157630000002</v>
      </c>
      <c r="K116" s="152">
        <v>0</v>
      </c>
      <c r="L116" s="150">
        <f t="shared" si="98"/>
        <v>0</v>
      </c>
      <c r="M116" s="148">
        <v>182870.79426</v>
      </c>
      <c r="N116" s="151">
        <f t="shared" si="99"/>
        <v>0.96958294795666966</v>
      </c>
      <c r="O116" s="152">
        <v>183645.59074000001</v>
      </c>
      <c r="P116" s="151">
        <f t="shared" si="100"/>
        <v>0.97369092735373397</v>
      </c>
      <c r="Q116" s="152">
        <v>25324.633000000002</v>
      </c>
      <c r="R116" s="152">
        <v>70171.025999999998</v>
      </c>
      <c r="S116" s="153">
        <v>114943.61416</v>
      </c>
      <c r="T116" s="152">
        <v>120716.465</v>
      </c>
      <c r="U116" s="152"/>
      <c r="V116" s="152">
        <v>109985.85919</v>
      </c>
      <c r="W116" s="152"/>
      <c r="X116" s="152">
        <v>109206.72435999999</v>
      </c>
      <c r="Y116" s="152"/>
      <c r="Z116" s="152">
        <f>V116-X116</f>
        <v>779.13483000000997</v>
      </c>
      <c r="AA116" s="152"/>
      <c r="AB116" s="152">
        <v>4957.75497</v>
      </c>
      <c r="AC116" s="152">
        <v>125718.223</v>
      </c>
      <c r="AD116" s="169"/>
      <c r="AE116" s="169"/>
      <c r="AF116" s="169"/>
      <c r="AG116" s="169"/>
      <c r="AH116" s="214">
        <v>1</v>
      </c>
      <c r="AI116" s="221"/>
      <c r="AJ116" s="222"/>
      <c r="AK116" s="174"/>
      <c r="AL116" s="230">
        <v>46108</v>
      </c>
      <c r="AM116" s="230">
        <v>46108</v>
      </c>
      <c r="AN116" s="74">
        <f t="shared" si="87"/>
        <v>-5.9999996665283106E-5</v>
      </c>
    </row>
    <row r="117" spans="1:40" ht="55.5" customHeight="1" x14ac:dyDescent="0.3">
      <c r="A117" s="57"/>
      <c r="B117" s="66" t="s">
        <v>194</v>
      </c>
      <c r="C117" s="63"/>
      <c r="D117" s="145">
        <f>D118</f>
        <v>358961.54600000003</v>
      </c>
      <c r="E117" s="171"/>
      <c r="F117" s="145">
        <f>F118</f>
        <v>110286.315</v>
      </c>
      <c r="G117" s="135">
        <f>G118</f>
        <v>0.3</v>
      </c>
      <c r="H117" s="145">
        <f>H118</f>
        <v>110286.315</v>
      </c>
      <c r="I117" s="136">
        <f t="shared" si="64"/>
        <v>1</v>
      </c>
      <c r="J117" s="145">
        <f>J118</f>
        <v>0</v>
      </c>
      <c r="K117" s="145">
        <f>K118</f>
        <v>29939.288</v>
      </c>
      <c r="L117" s="135">
        <f t="shared" si="98"/>
        <v>0.2714687493185351</v>
      </c>
      <c r="M117" s="145">
        <f>M118</f>
        <v>288514.13500000001</v>
      </c>
      <c r="N117" s="136">
        <f t="shared" si="99"/>
        <v>0.80374663585831552</v>
      </c>
      <c r="O117" s="145">
        <f>O118</f>
        <v>258574.84599999999</v>
      </c>
      <c r="P117" s="136">
        <f t="shared" si="100"/>
        <v>0.72034135377832353</v>
      </c>
      <c r="Q117" s="145">
        <f t="shared" ref="Q117:AG117" si="102">Q118</f>
        <v>13131.358</v>
      </c>
      <c r="R117" s="145">
        <f t="shared" si="102"/>
        <v>9036.4750000000004</v>
      </c>
      <c r="S117" s="147">
        <f t="shared" si="102"/>
        <v>63483.8868</v>
      </c>
      <c r="T117" s="145">
        <f>T118</f>
        <v>79511.521999999997</v>
      </c>
      <c r="U117" s="145">
        <f>U118</f>
        <v>0</v>
      </c>
      <c r="V117" s="145">
        <f t="shared" si="102"/>
        <v>70447.411559999993</v>
      </c>
      <c r="W117" s="145">
        <f t="shared" si="102"/>
        <v>0</v>
      </c>
      <c r="X117" s="145">
        <f t="shared" si="102"/>
        <v>0</v>
      </c>
      <c r="Y117" s="145">
        <f t="shared" si="102"/>
        <v>0</v>
      </c>
      <c r="Z117" s="145">
        <f t="shared" si="102"/>
        <v>70447.411559999993</v>
      </c>
      <c r="AA117" s="145">
        <f t="shared" si="102"/>
        <v>0</v>
      </c>
      <c r="AB117" s="145">
        <f t="shared" si="102"/>
        <v>0</v>
      </c>
      <c r="AC117" s="145">
        <f t="shared" si="102"/>
        <v>26000</v>
      </c>
      <c r="AD117" s="145">
        <f t="shared" si="102"/>
        <v>0</v>
      </c>
      <c r="AE117" s="145">
        <f t="shared" si="102"/>
        <v>0</v>
      </c>
      <c r="AF117" s="145">
        <f t="shared" si="102"/>
        <v>0</v>
      </c>
      <c r="AG117" s="145">
        <f t="shared" si="102"/>
        <v>0</v>
      </c>
      <c r="AH117" s="213"/>
      <c r="AI117" s="235"/>
      <c r="AJ117" s="210"/>
      <c r="AK117" s="213"/>
      <c r="AL117" s="213"/>
      <c r="AM117" s="213"/>
      <c r="AN117" s="74">
        <f t="shared" si="87"/>
        <v>-5.5999997130129486E-4</v>
      </c>
    </row>
    <row r="118" spans="1:40" ht="93" x14ac:dyDescent="0.35">
      <c r="A118" s="122">
        <v>1</v>
      </c>
      <c r="B118" s="117" t="s">
        <v>195</v>
      </c>
      <c r="C118" s="100" t="s">
        <v>196</v>
      </c>
      <c r="D118" s="148">
        <v>358961.54600000003</v>
      </c>
      <c r="E118" s="149" t="s">
        <v>22</v>
      </c>
      <c r="F118" s="148">
        <v>110286.315</v>
      </c>
      <c r="G118" s="174">
        <v>0.3</v>
      </c>
      <c r="H118" s="148">
        <v>110286.315</v>
      </c>
      <c r="I118" s="151">
        <f t="shared" si="64"/>
        <v>1</v>
      </c>
      <c r="J118" s="152">
        <v>0</v>
      </c>
      <c r="K118" s="152">
        <v>29939.288</v>
      </c>
      <c r="L118" s="150">
        <f t="shared" si="98"/>
        <v>0.2714687493185351</v>
      </c>
      <c r="M118" s="148">
        <v>288514.13500000001</v>
      </c>
      <c r="N118" s="151">
        <f t="shared" si="99"/>
        <v>0.80374663585831552</v>
      </c>
      <c r="O118" s="152">
        <v>258574.84599999999</v>
      </c>
      <c r="P118" s="151">
        <f t="shared" si="100"/>
        <v>0.72034135377832353</v>
      </c>
      <c r="Q118" s="152">
        <v>13131.358</v>
      </c>
      <c r="R118" s="152">
        <v>9036.4750000000004</v>
      </c>
      <c r="S118" s="153">
        <v>63483.8868</v>
      </c>
      <c r="T118" s="152">
        <v>79511.521999999997</v>
      </c>
      <c r="U118" s="152"/>
      <c r="V118" s="152">
        <v>70447.411559999993</v>
      </c>
      <c r="W118" s="152"/>
      <c r="X118" s="152"/>
      <c r="Y118" s="152"/>
      <c r="Z118" s="152">
        <f>V118-X118</f>
        <v>70447.411559999993</v>
      </c>
      <c r="AA118" s="152"/>
      <c r="AB118" s="152"/>
      <c r="AC118" s="152">
        <v>26000</v>
      </c>
      <c r="AD118" s="169"/>
      <c r="AE118" s="169"/>
      <c r="AF118" s="169"/>
      <c r="AG118" s="169"/>
      <c r="AH118" s="214">
        <v>0.9</v>
      </c>
      <c r="AI118" s="221"/>
      <c r="AJ118" s="222"/>
      <c r="AK118" s="230">
        <v>46383</v>
      </c>
      <c r="AL118" s="230">
        <v>45473</v>
      </c>
      <c r="AM118" s="230">
        <v>45899</v>
      </c>
      <c r="AN118" s="74">
        <f t="shared" si="87"/>
        <v>-5.5999997130129486E-4</v>
      </c>
    </row>
    <row r="119" spans="1:40" ht="50.25" customHeight="1" x14ac:dyDescent="0.35">
      <c r="A119" s="57"/>
      <c r="B119" s="66" t="s">
        <v>197</v>
      </c>
      <c r="C119" s="63"/>
      <c r="D119" s="145">
        <f>D120</f>
        <v>223239.46400000001</v>
      </c>
      <c r="E119" s="171"/>
      <c r="F119" s="145">
        <f>F120</f>
        <v>111767.802</v>
      </c>
      <c r="G119" s="135">
        <f t="shared" si="65"/>
        <v>0.50066327878300221</v>
      </c>
      <c r="H119" s="145">
        <f>H120</f>
        <v>108880.62</v>
      </c>
      <c r="I119" s="136">
        <f t="shared" si="64"/>
        <v>0.97416803454719458</v>
      </c>
      <c r="J119" s="145">
        <f>J120</f>
        <v>0</v>
      </c>
      <c r="K119" s="145">
        <f>K120</f>
        <v>108880.62</v>
      </c>
      <c r="L119" s="135">
        <f t="shared" si="98"/>
        <v>1</v>
      </c>
      <c r="M119" s="145">
        <f>M120</f>
        <v>118636.6153</v>
      </c>
      <c r="N119" s="136">
        <f t="shared" si="99"/>
        <v>0.53143209168429106</v>
      </c>
      <c r="O119" s="145">
        <f>O120</f>
        <v>19808.131010000001</v>
      </c>
      <c r="P119" s="136">
        <f t="shared" si="100"/>
        <v>8.8730418247196657E-2</v>
      </c>
      <c r="Q119" s="145">
        <f t="shared" ref="Q119:AG119" si="103">Q120</f>
        <v>0</v>
      </c>
      <c r="R119" s="145">
        <f t="shared" si="103"/>
        <v>0</v>
      </c>
      <c r="S119" s="147">
        <f t="shared" si="103"/>
        <v>94805.289220000006</v>
      </c>
      <c r="T119" s="145">
        <f>T120</f>
        <v>128673.39</v>
      </c>
      <c r="U119" s="145">
        <f>U120</f>
        <v>13000</v>
      </c>
      <c r="V119" s="145">
        <f t="shared" si="103"/>
        <v>114358.84378</v>
      </c>
      <c r="W119" s="145">
        <f t="shared" si="103"/>
        <v>247000</v>
      </c>
      <c r="X119" s="145">
        <f t="shared" si="103"/>
        <v>9755.9951700000001</v>
      </c>
      <c r="Y119" s="145">
        <f t="shared" si="103"/>
        <v>0</v>
      </c>
      <c r="Z119" s="145">
        <f t="shared" si="103"/>
        <v>104602.84861</v>
      </c>
      <c r="AA119" s="145">
        <f t="shared" si="103"/>
        <v>0</v>
      </c>
      <c r="AB119" s="145">
        <f t="shared" si="103"/>
        <v>0</v>
      </c>
      <c r="AC119" s="145">
        <f t="shared" si="103"/>
        <v>0</v>
      </c>
      <c r="AD119" s="145">
        <f t="shared" si="103"/>
        <v>0</v>
      </c>
      <c r="AE119" s="145">
        <f t="shared" si="103"/>
        <v>0</v>
      </c>
      <c r="AF119" s="145">
        <f t="shared" si="103"/>
        <v>0</v>
      </c>
      <c r="AG119" s="145">
        <f t="shared" si="103"/>
        <v>0</v>
      </c>
      <c r="AH119" s="213"/>
      <c r="AI119" s="210"/>
      <c r="AJ119" s="211"/>
      <c r="AK119" s="213"/>
      <c r="AL119" s="213"/>
      <c r="AM119" s="213"/>
      <c r="AN119" s="74">
        <f t="shared" si="87"/>
        <v>9.0000001364387572E-5</v>
      </c>
    </row>
    <row r="120" spans="1:40" ht="186" x14ac:dyDescent="0.25">
      <c r="A120" s="122">
        <v>1</v>
      </c>
      <c r="B120" s="117" t="s">
        <v>198</v>
      </c>
      <c r="C120" s="100" t="s">
        <v>199</v>
      </c>
      <c r="D120" s="148">
        <v>223239.46400000001</v>
      </c>
      <c r="E120" s="149" t="s">
        <v>22</v>
      </c>
      <c r="F120" s="148">
        <v>111767.802</v>
      </c>
      <c r="G120" s="150">
        <f t="shared" si="65"/>
        <v>0.50066327878300221</v>
      </c>
      <c r="H120" s="148">
        <v>108880.62</v>
      </c>
      <c r="I120" s="151">
        <f t="shared" si="64"/>
        <v>0.97416803454719458</v>
      </c>
      <c r="J120" s="152">
        <v>0</v>
      </c>
      <c r="K120" s="152">
        <v>108880.62</v>
      </c>
      <c r="L120" s="150">
        <f t="shared" si="98"/>
        <v>1</v>
      </c>
      <c r="M120" s="148">
        <v>118636.6153</v>
      </c>
      <c r="N120" s="151">
        <f t="shared" si="99"/>
        <v>0.53143209168429106</v>
      </c>
      <c r="O120" s="152">
        <v>19808.131010000001</v>
      </c>
      <c r="P120" s="151">
        <f t="shared" si="100"/>
        <v>8.8730418247196657E-2</v>
      </c>
      <c r="Q120" s="152">
        <v>0</v>
      </c>
      <c r="R120" s="152">
        <v>0</v>
      </c>
      <c r="S120" s="153">
        <v>94805.289220000006</v>
      </c>
      <c r="T120" s="152">
        <v>128673.39</v>
      </c>
      <c r="U120" s="175">
        <v>13000</v>
      </c>
      <c r="V120" s="152">
        <v>114358.84378</v>
      </c>
      <c r="W120" s="154">
        <v>247000</v>
      </c>
      <c r="X120" s="152">
        <v>9755.9951700000001</v>
      </c>
      <c r="Y120" s="152"/>
      <c r="Z120" s="152">
        <f>V120-X120</f>
        <v>104602.84861</v>
      </c>
      <c r="AA120" s="152"/>
      <c r="AB120" s="152"/>
      <c r="AC120" s="152"/>
      <c r="AD120" s="169"/>
      <c r="AE120" s="169"/>
      <c r="AF120" s="169"/>
      <c r="AG120" s="169"/>
      <c r="AH120" s="214">
        <v>0.99</v>
      </c>
      <c r="AI120" s="215">
        <v>0.47</v>
      </c>
      <c r="AJ120" s="215" t="s">
        <v>259</v>
      </c>
      <c r="AK120" s="230">
        <v>46383</v>
      </c>
      <c r="AL120" s="230">
        <v>46006</v>
      </c>
      <c r="AM120" s="230">
        <v>46079</v>
      </c>
      <c r="AN120" s="74">
        <f t="shared" si="87"/>
        <v>9.0000001364387572E-5</v>
      </c>
    </row>
    <row r="121" spans="1:40" ht="50.25" customHeight="1" x14ac:dyDescent="0.35">
      <c r="A121" s="57"/>
      <c r="B121" s="66" t="s">
        <v>200</v>
      </c>
      <c r="C121" s="63"/>
      <c r="D121" s="145">
        <f>D122+D123</f>
        <v>3523860.8289999999</v>
      </c>
      <c r="E121" s="171"/>
      <c r="F121" s="145">
        <f>F122+F123</f>
        <v>1506496.24025</v>
      </c>
      <c r="G121" s="135">
        <f t="shared" si="65"/>
        <v>0.42751297890430962</v>
      </c>
      <c r="H121" s="145">
        <f>H122+H123</f>
        <v>1506496.24</v>
      </c>
      <c r="I121" s="136">
        <f t="shared" si="64"/>
        <v>0.99999999983405197</v>
      </c>
      <c r="J121" s="145">
        <f>J122+J123</f>
        <v>1123344.9792500001</v>
      </c>
      <c r="K121" s="145">
        <f>K122+K123</f>
        <v>1167290.17662</v>
      </c>
      <c r="L121" s="135">
        <f t="shared" si="98"/>
        <v>0.77483776303351415</v>
      </c>
      <c r="M121" s="145">
        <f>M122+M123</f>
        <v>2297977.0538600003</v>
      </c>
      <c r="N121" s="136">
        <f t="shared" si="99"/>
        <v>0.65211912881137235</v>
      </c>
      <c r="O121" s="145">
        <f>O122+O123</f>
        <v>1130686.8774900001</v>
      </c>
      <c r="P121" s="136">
        <f t="shared" si="100"/>
        <v>0.3208659286952788</v>
      </c>
      <c r="Q121" s="145">
        <f>Q122+Q123</f>
        <v>696759.20299999998</v>
      </c>
      <c r="R121" s="145">
        <f t="shared" ref="R121:AG121" si="104">R122+R123</f>
        <v>1644347.5350000001</v>
      </c>
      <c r="S121" s="147">
        <f t="shared" si="104"/>
        <v>1233344.97997</v>
      </c>
      <c r="T121" s="145">
        <f>T122+T123</f>
        <v>1519769.922</v>
      </c>
      <c r="U121" s="145">
        <f>U122+U123</f>
        <v>0</v>
      </c>
      <c r="V121" s="145">
        <f t="shared" si="104"/>
        <v>266475.12998999999</v>
      </c>
      <c r="W121" s="145">
        <f t="shared" si="104"/>
        <v>0</v>
      </c>
      <c r="X121" s="145">
        <f t="shared" si="104"/>
        <v>78048.358819999994</v>
      </c>
      <c r="Y121" s="145">
        <f t="shared" si="104"/>
        <v>0</v>
      </c>
      <c r="Z121" s="145">
        <f t="shared" si="104"/>
        <v>188426.77117000002</v>
      </c>
      <c r="AA121" s="145">
        <f t="shared" si="104"/>
        <v>0</v>
      </c>
      <c r="AB121" s="145">
        <f t="shared" si="104"/>
        <v>1037457.00271</v>
      </c>
      <c r="AC121" s="145">
        <f t="shared" si="104"/>
        <v>1827282.0279999999</v>
      </c>
      <c r="AD121" s="145">
        <f t="shared" si="104"/>
        <v>0</v>
      </c>
      <c r="AE121" s="145">
        <f t="shared" si="104"/>
        <v>7107430.7690000003</v>
      </c>
      <c r="AF121" s="145">
        <f t="shared" si="104"/>
        <v>0</v>
      </c>
      <c r="AG121" s="145">
        <f t="shared" si="104"/>
        <v>2898778.125</v>
      </c>
      <c r="AH121" s="213"/>
      <c r="AI121" s="210"/>
      <c r="AJ121" s="211"/>
      <c r="AK121" s="213"/>
      <c r="AL121" s="213"/>
      <c r="AM121" s="213"/>
      <c r="AN121" s="74">
        <f t="shared" si="87"/>
        <v>1.2599994661286473E-3</v>
      </c>
    </row>
    <row r="122" spans="1:40" ht="54.75" customHeight="1" x14ac:dyDescent="0.25">
      <c r="A122" s="104">
        <v>1</v>
      </c>
      <c r="B122" s="106" t="s">
        <v>26</v>
      </c>
      <c r="C122" s="99">
        <v>46198</v>
      </c>
      <c r="D122" s="148">
        <v>2246689.96</v>
      </c>
      <c r="E122" s="149" t="s">
        <v>22</v>
      </c>
      <c r="F122" s="152">
        <v>1123344.9792500001</v>
      </c>
      <c r="G122" s="150">
        <f>F122/D122</f>
        <v>0.49999999966617564</v>
      </c>
      <c r="H122" s="148">
        <v>1123344.9790000001</v>
      </c>
      <c r="I122" s="151">
        <f>H122/F122</f>
        <v>0.99999999977745035</v>
      </c>
      <c r="J122" s="152">
        <v>1123344.9792500001</v>
      </c>
      <c r="K122" s="152">
        <v>1123344.9792500001</v>
      </c>
      <c r="L122" s="150">
        <f>K122/H122</f>
        <v>1.0000000002225498</v>
      </c>
      <c r="M122" s="148">
        <v>1123344.9790000001</v>
      </c>
      <c r="N122" s="151">
        <f>M122/D122</f>
        <v>0.49999999955490076</v>
      </c>
      <c r="O122" s="152">
        <v>0</v>
      </c>
      <c r="P122" s="151">
        <f>O122/D122</f>
        <v>0</v>
      </c>
      <c r="Q122" s="152">
        <v>0</v>
      </c>
      <c r="R122" s="152">
        <v>1123344.9790000001</v>
      </c>
      <c r="S122" s="153">
        <v>1123344.97997</v>
      </c>
      <c r="T122" s="152">
        <v>905382.73800000001</v>
      </c>
      <c r="U122" s="152"/>
      <c r="V122" s="152">
        <v>85887.97726</v>
      </c>
      <c r="W122" s="152"/>
      <c r="X122" s="152"/>
      <c r="Y122" s="152"/>
      <c r="Z122" s="152">
        <f>V122-X122</f>
        <v>85887.97726</v>
      </c>
      <c r="AA122" s="152"/>
      <c r="AB122" s="152">
        <v>1037457.00271</v>
      </c>
      <c r="AC122" s="152">
        <v>1827282.0279999999</v>
      </c>
      <c r="AD122" s="169"/>
      <c r="AE122" s="170">
        <v>7107430.7690000003</v>
      </c>
      <c r="AF122" s="169"/>
      <c r="AG122" s="170">
        <v>2898778.125</v>
      </c>
      <c r="AH122" s="217">
        <v>0.47</v>
      </c>
      <c r="AI122" s="215">
        <v>0.95</v>
      </c>
      <c r="AJ122" s="215" t="s">
        <v>259</v>
      </c>
      <c r="AK122" s="230">
        <v>47479</v>
      </c>
      <c r="AL122" s="230">
        <v>45049</v>
      </c>
      <c r="AM122" s="230">
        <v>46380</v>
      </c>
      <c r="AN122" s="74">
        <f t="shared" si="87"/>
        <v>1.0299999266862869E-3</v>
      </c>
    </row>
    <row r="123" spans="1:40" ht="116.25" x14ac:dyDescent="0.25">
      <c r="A123" s="122">
        <v>2</v>
      </c>
      <c r="B123" s="117" t="s">
        <v>201</v>
      </c>
      <c r="C123" s="100" t="s">
        <v>202</v>
      </c>
      <c r="D123" s="148">
        <v>1277170.8689999999</v>
      </c>
      <c r="E123" s="152" t="s">
        <v>17</v>
      </c>
      <c r="F123" s="148">
        <v>383151.261</v>
      </c>
      <c r="G123" s="150">
        <f t="shared" si="65"/>
        <v>0.3000000002348942</v>
      </c>
      <c r="H123" s="148">
        <v>383151.261</v>
      </c>
      <c r="I123" s="151">
        <f t="shared" si="64"/>
        <v>1</v>
      </c>
      <c r="J123" s="152">
        <v>0</v>
      </c>
      <c r="K123" s="152">
        <v>43945.197370000002</v>
      </c>
      <c r="L123" s="150">
        <f t="shared" ref="L123" si="105">K123/H123</f>
        <v>0.11469412172964244</v>
      </c>
      <c r="M123" s="148">
        <v>1174632.0748600001</v>
      </c>
      <c r="N123" s="151">
        <f t="shared" ref="N123" si="106">M123/D123</f>
        <v>0.91971411450976348</v>
      </c>
      <c r="O123" s="152">
        <v>1130686.8774900001</v>
      </c>
      <c r="P123" s="151">
        <f t="shared" ref="P123" si="107">O123/D123</f>
        <v>0.88530587796392979</v>
      </c>
      <c r="Q123" s="152">
        <v>696759.20299999998</v>
      </c>
      <c r="R123" s="152">
        <v>521002.55599999998</v>
      </c>
      <c r="S123" s="153">
        <v>110000</v>
      </c>
      <c r="T123" s="152">
        <v>614387.18400000001</v>
      </c>
      <c r="U123" s="152"/>
      <c r="V123" s="152">
        <v>180587.15273</v>
      </c>
      <c r="W123" s="152"/>
      <c r="X123" s="152">
        <v>78048.358819999994</v>
      </c>
      <c r="Y123" s="152"/>
      <c r="Z123" s="152">
        <f>V123-X123</f>
        <v>102538.79391000001</v>
      </c>
      <c r="AA123" s="152"/>
      <c r="AB123" s="152"/>
      <c r="AC123" s="152"/>
      <c r="AD123" s="169"/>
      <c r="AE123" s="169"/>
      <c r="AF123" s="169"/>
      <c r="AG123" s="169"/>
      <c r="AH123" s="214">
        <v>0.98</v>
      </c>
      <c r="AI123" s="215">
        <v>1</v>
      </c>
      <c r="AJ123" s="215" t="s">
        <v>259</v>
      </c>
      <c r="AK123" s="230">
        <v>46383</v>
      </c>
      <c r="AL123" s="230">
        <v>44915</v>
      </c>
      <c r="AM123" s="230">
        <v>46174</v>
      </c>
      <c r="AN123" s="74">
        <f t="shared" si="87"/>
        <v>2.2999988868832588E-4</v>
      </c>
    </row>
    <row r="124" spans="1:40" ht="53.25" customHeight="1" x14ac:dyDescent="0.35">
      <c r="A124" s="57"/>
      <c r="B124" s="66" t="s">
        <v>203</v>
      </c>
      <c r="C124" s="61"/>
      <c r="D124" s="145">
        <f>D125</f>
        <v>1909798.3369999998</v>
      </c>
      <c r="E124" s="176"/>
      <c r="F124" s="145">
        <f>F125</f>
        <v>572939.50100000005</v>
      </c>
      <c r="G124" s="135">
        <f t="shared" si="65"/>
        <v>0.29999999994763848</v>
      </c>
      <c r="H124" s="145">
        <f>H125</f>
        <v>559828.48782000004</v>
      </c>
      <c r="I124" s="136">
        <f t="shared" si="64"/>
        <v>0.9771162345114689</v>
      </c>
      <c r="J124" s="145">
        <f>J125</f>
        <v>0</v>
      </c>
      <c r="K124" s="145">
        <f>K125</f>
        <v>520000</v>
      </c>
      <c r="L124" s="135">
        <f t="shared" ref="L124:L130" si="108">K124/H124</f>
        <v>0.92885591089675668</v>
      </c>
      <c r="M124" s="145">
        <f>M125</f>
        <v>638651.90995</v>
      </c>
      <c r="N124" s="136">
        <f t="shared" ref="N124:N130" si="109">M124/D124</f>
        <v>0.33440803543332442</v>
      </c>
      <c r="O124" s="145">
        <f>O125</f>
        <v>118651.90995</v>
      </c>
      <c r="P124" s="136">
        <f t="shared" ref="P124:P130" si="110">O124/D124</f>
        <v>6.2127978463099906E-2</v>
      </c>
      <c r="Q124" s="145">
        <f t="shared" ref="Q124:AG124" si="111">Q125</f>
        <v>118651.90995</v>
      </c>
      <c r="R124" s="145">
        <f t="shared" si="111"/>
        <v>598823.42212999996</v>
      </c>
      <c r="S124" s="147">
        <f t="shared" si="111"/>
        <v>37000</v>
      </c>
      <c r="T124" s="145">
        <f>T125</f>
        <v>200000</v>
      </c>
      <c r="U124" s="145">
        <f>U125</f>
        <v>165869.1</v>
      </c>
      <c r="V124" s="145">
        <f t="shared" si="111"/>
        <v>25000</v>
      </c>
      <c r="W124" s="145">
        <f t="shared" si="111"/>
        <v>0</v>
      </c>
      <c r="X124" s="145">
        <f t="shared" si="111"/>
        <v>0</v>
      </c>
      <c r="Y124" s="145">
        <f t="shared" si="111"/>
        <v>0</v>
      </c>
      <c r="Z124" s="145">
        <f t="shared" si="111"/>
        <v>25000</v>
      </c>
      <c r="AA124" s="145">
        <f t="shared" si="111"/>
        <v>90000</v>
      </c>
      <c r="AB124" s="145">
        <f t="shared" si="111"/>
        <v>90000</v>
      </c>
      <c r="AC124" s="145">
        <f t="shared" si="111"/>
        <v>100000</v>
      </c>
      <c r="AD124" s="145">
        <f t="shared" si="111"/>
        <v>1156146.4269099999</v>
      </c>
      <c r="AE124" s="145">
        <f t="shared" si="111"/>
        <v>2498590.7760000001</v>
      </c>
      <c r="AF124" s="145">
        <f t="shared" si="111"/>
        <v>0</v>
      </c>
      <c r="AG124" s="145">
        <f t="shared" si="111"/>
        <v>0</v>
      </c>
      <c r="AH124" s="236"/>
      <c r="AI124" s="210"/>
      <c r="AJ124" s="211"/>
      <c r="AK124" s="213"/>
      <c r="AL124" s="213"/>
      <c r="AM124" s="213"/>
      <c r="AN124" s="74">
        <f t="shared" si="87"/>
        <v>1.3999990187585354E-4</v>
      </c>
    </row>
    <row r="125" spans="1:40" ht="116.25" x14ac:dyDescent="0.25">
      <c r="A125" s="122">
        <v>1</v>
      </c>
      <c r="B125" s="117" t="s">
        <v>204</v>
      </c>
      <c r="C125" s="100" t="s">
        <v>205</v>
      </c>
      <c r="D125" s="148">
        <v>1909798.3369999998</v>
      </c>
      <c r="E125" s="149" t="s">
        <v>22</v>
      </c>
      <c r="F125" s="152">
        <v>572939.50100000005</v>
      </c>
      <c r="G125" s="150">
        <f t="shared" si="65"/>
        <v>0.29999999994763848</v>
      </c>
      <c r="H125" s="152">
        <v>559828.48782000004</v>
      </c>
      <c r="I125" s="151">
        <f t="shared" si="64"/>
        <v>0.9771162345114689</v>
      </c>
      <c r="J125" s="152">
        <v>0</v>
      </c>
      <c r="K125" s="152">
        <v>520000</v>
      </c>
      <c r="L125" s="150">
        <f t="shared" si="108"/>
        <v>0.92885591089675668</v>
      </c>
      <c r="M125" s="148">
        <v>638651.90995</v>
      </c>
      <c r="N125" s="151">
        <f t="shared" si="109"/>
        <v>0.33440803543332442</v>
      </c>
      <c r="O125" s="152">
        <v>118651.90995</v>
      </c>
      <c r="P125" s="151">
        <f t="shared" si="110"/>
        <v>6.2127978463099906E-2</v>
      </c>
      <c r="Q125" s="152">
        <v>118651.90995</v>
      </c>
      <c r="R125" s="152">
        <v>598823.42212999996</v>
      </c>
      <c r="S125" s="153">
        <v>37000</v>
      </c>
      <c r="T125" s="152">
        <v>200000</v>
      </c>
      <c r="U125" s="152">
        <v>165869.1</v>
      </c>
      <c r="V125" s="152">
        <v>25000</v>
      </c>
      <c r="W125" s="152"/>
      <c r="X125" s="152"/>
      <c r="Y125" s="152"/>
      <c r="Z125" s="152">
        <f>V125-X125</f>
        <v>25000</v>
      </c>
      <c r="AA125" s="152">
        <v>90000</v>
      </c>
      <c r="AB125" s="152">
        <v>90000</v>
      </c>
      <c r="AC125" s="152">
        <v>100000</v>
      </c>
      <c r="AD125" s="152">
        <v>1156146.4269099999</v>
      </c>
      <c r="AE125" s="152">
        <v>2498590.7760000001</v>
      </c>
      <c r="AF125" s="169"/>
      <c r="AG125" s="169"/>
      <c r="AH125" s="223" t="s">
        <v>247</v>
      </c>
      <c r="AI125" s="215">
        <v>0.22</v>
      </c>
      <c r="AJ125" s="215" t="s">
        <v>259</v>
      </c>
      <c r="AK125" s="230">
        <v>47014</v>
      </c>
      <c r="AL125" s="230">
        <v>47014</v>
      </c>
      <c r="AM125" s="230">
        <v>47014</v>
      </c>
      <c r="AN125" s="74">
        <f t="shared" si="87"/>
        <v>1.3999990187585354E-4</v>
      </c>
    </row>
    <row r="126" spans="1:40" ht="116.25" x14ac:dyDescent="0.25">
      <c r="A126" s="125">
        <v>2</v>
      </c>
      <c r="B126" s="123" t="s">
        <v>284</v>
      </c>
      <c r="C126" s="112" t="s">
        <v>283</v>
      </c>
      <c r="D126" s="163">
        <v>5890387.6365499999</v>
      </c>
      <c r="E126" s="164" t="s">
        <v>22</v>
      </c>
      <c r="F126" s="155">
        <v>589038.76366000006</v>
      </c>
      <c r="G126" s="165">
        <f t="shared" ref="G126" si="112">F126/D126</f>
        <v>0.10000000000084885</v>
      </c>
      <c r="H126" s="155">
        <v>0</v>
      </c>
      <c r="I126" s="166">
        <f t="shared" ref="I126" si="113">H126/F126</f>
        <v>0</v>
      </c>
      <c r="J126" s="155">
        <v>0</v>
      </c>
      <c r="K126" s="155">
        <v>0</v>
      </c>
      <c r="L126" s="165">
        <v>0</v>
      </c>
      <c r="M126" s="163">
        <v>0</v>
      </c>
      <c r="N126" s="166">
        <f t="shared" ref="N126" si="114">M126/D126</f>
        <v>0</v>
      </c>
      <c r="O126" s="155">
        <v>0</v>
      </c>
      <c r="P126" s="166">
        <f t="shared" ref="P126" si="115">O126/D126</f>
        <v>0</v>
      </c>
      <c r="Q126" s="155">
        <v>0</v>
      </c>
      <c r="R126" s="155">
        <v>0</v>
      </c>
      <c r="S126" s="167">
        <v>37000</v>
      </c>
      <c r="T126" s="155">
        <v>39712.161999999997</v>
      </c>
      <c r="U126" s="155"/>
      <c r="V126" s="155">
        <v>35535.781320000002</v>
      </c>
      <c r="W126" s="155"/>
      <c r="X126" s="155">
        <v>0</v>
      </c>
      <c r="Y126" s="155"/>
      <c r="Z126" s="155">
        <f>V126-X126</f>
        <v>35535.781320000002</v>
      </c>
      <c r="AA126" s="155"/>
      <c r="AB126" s="155">
        <v>4047795.7132299999</v>
      </c>
      <c r="AC126" s="155">
        <v>5255369.75</v>
      </c>
      <c r="AD126" s="155">
        <v>1800000</v>
      </c>
      <c r="AE126" s="155">
        <v>2088825.5</v>
      </c>
      <c r="AF126" s="155">
        <v>7056.1419999999998</v>
      </c>
      <c r="AG126" s="155">
        <v>7056.1419999999998</v>
      </c>
      <c r="AH126" s="232"/>
      <c r="AI126" s="233"/>
      <c r="AJ126" s="233"/>
      <c r="AK126" s="237"/>
      <c r="AL126" s="237"/>
      <c r="AM126" s="237"/>
      <c r="AN126" s="74">
        <f t="shared" ref="AN126" si="116">D126-M126-Z126-AB126-AD126-AF126</f>
        <v>-7.2759576141834259E-12</v>
      </c>
    </row>
    <row r="127" spans="1:40" ht="53.25" customHeight="1" x14ac:dyDescent="0.35">
      <c r="A127" s="57"/>
      <c r="B127" s="66" t="s">
        <v>206</v>
      </c>
      <c r="C127" s="63"/>
      <c r="D127" s="145">
        <f>SUM(D128:D130)</f>
        <v>3210785.6140000001</v>
      </c>
      <c r="E127" s="171"/>
      <c r="F127" s="145">
        <f>SUM(F128:F130)</f>
        <v>530085.50424000004</v>
      </c>
      <c r="G127" s="135">
        <f>F127/D127</f>
        <v>0.16509526575946595</v>
      </c>
      <c r="H127" s="145">
        <f>SUM(H128:H130)</f>
        <v>530085.50450000004</v>
      </c>
      <c r="I127" s="136">
        <f>H127/F127</f>
        <v>1.000000000490487</v>
      </c>
      <c r="J127" s="145">
        <f t="shared" ref="J127:K127" si="117">SUM(J128:J130)</f>
        <v>271410.98615000001</v>
      </c>
      <c r="K127" s="145">
        <f t="shared" si="117"/>
        <v>530085.50450000004</v>
      </c>
      <c r="L127" s="135">
        <f t="shared" si="108"/>
        <v>1</v>
      </c>
      <c r="M127" s="145">
        <f>SUM(M128:M130)</f>
        <v>530085.50365000009</v>
      </c>
      <c r="N127" s="136">
        <f t="shared" si="109"/>
        <v>0.1650952655757103</v>
      </c>
      <c r="O127" s="145">
        <f>SUM(O128:O130)</f>
        <v>0</v>
      </c>
      <c r="P127" s="136">
        <f t="shared" si="110"/>
        <v>0</v>
      </c>
      <c r="Q127" s="145">
        <f t="shared" ref="Q127:AG127" si="118">SUM(Q128:Q130)</f>
        <v>0</v>
      </c>
      <c r="R127" s="145">
        <f t="shared" si="118"/>
        <v>271410.98615000001</v>
      </c>
      <c r="S127" s="147">
        <f t="shared" si="118"/>
        <v>1504762.84152</v>
      </c>
      <c r="T127" s="145">
        <f>SUM(T128:T130)</f>
        <v>1143886.7620000001</v>
      </c>
      <c r="U127" s="145">
        <f>SUM(U128:U130)</f>
        <v>0</v>
      </c>
      <c r="V127" s="145">
        <f t="shared" si="118"/>
        <v>1081569.5814800002</v>
      </c>
      <c r="W127" s="145">
        <f t="shared" si="118"/>
        <v>882000</v>
      </c>
      <c r="X127" s="145">
        <f t="shared" si="118"/>
        <v>258674.51808999997</v>
      </c>
      <c r="Y127" s="145">
        <f t="shared" si="118"/>
        <v>52251.735240000002</v>
      </c>
      <c r="Z127" s="145">
        <f t="shared" si="118"/>
        <v>822895.06339000002</v>
      </c>
      <c r="AA127" s="145">
        <f t="shared" si="118"/>
        <v>1434611.7864699999</v>
      </c>
      <c r="AB127" s="145">
        <f t="shared" si="118"/>
        <v>1857805.04651</v>
      </c>
      <c r="AC127" s="145">
        <f t="shared" si="118"/>
        <v>2258992.7999999998</v>
      </c>
      <c r="AD127" s="145">
        <f t="shared" si="118"/>
        <v>0</v>
      </c>
      <c r="AE127" s="145">
        <f t="shared" si="118"/>
        <v>0</v>
      </c>
      <c r="AF127" s="145">
        <f t="shared" si="118"/>
        <v>0</v>
      </c>
      <c r="AG127" s="145">
        <f t="shared" si="118"/>
        <v>0</v>
      </c>
      <c r="AH127" s="213"/>
      <c r="AI127" s="210"/>
      <c r="AJ127" s="211"/>
      <c r="AK127" s="213"/>
      <c r="AL127" s="213"/>
      <c r="AM127" s="213"/>
      <c r="AN127" s="74">
        <f t="shared" si="87"/>
        <v>4.4999970123171806E-4</v>
      </c>
    </row>
    <row r="128" spans="1:40" ht="121.5" x14ac:dyDescent="0.25">
      <c r="A128" s="104">
        <v>1</v>
      </c>
      <c r="B128" s="105" t="s">
        <v>209</v>
      </c>
      <c r="C128" s="100" t="s">
        <v>210</v>
      </c>
      <c r="D128" s="148">
        <v>526157.74199999997</v>
      </c>
      <c r="E128" s="152" t="s">
        <v>17</v>
      </c>
      <c r="F128" s="152">
        <v>157847.32274</v>
      </c>
      <c r="G128" s="150">
        <f>F128/D128</f>
        <v>0.30000000026607992</v>
      </c>
      <c r="H128" s="152">
        <v>157847.323</v>
      </c>
      <c r="I128" s="151">
        <f>H128/F128</f>
        <v>1.0000000016471613</v>
      </c>
      <c r="J128" s="152">
        <v>131539.43599999999</v>
      </c>
      <c r="K128" s="152">
        <v>157847.323</v>
      </c>
      <c r="L128" s="150">
        <f>K128/H128</f>
        <v>1</v>
      </c>
      <c r="M128" s="148">
        <v>157847.323</v>
      </c>
      <c r="N128" s="151">
        <f>M128/D128</f>
        <v>0.30000000076022831</v>
      </c>
      <c r="O128" s="152">
        <v>0</v>
      </c>
      <c r="P128" s="151">
        <f>O128/D128</f>
        <v>0</v>
      </c>
      <c r="Q128" s="152">
        <v>0</v>
      </c>
      <c r="R128" s="152">
        <v>131539.43599999999</v>
      </c>
      <c r="S128" s="153">
        <v>394618.30648000003</v>
      </c>
      <c r="T128" s="152">
        <v>421309.185</v>
      </c>
      <c r="U128" s="152"/>
      <c r="V128" s="152">
        <v>394618.30648000003</v>
      </c>
      <c r="W128" s="152"/>
      <c r="X128" s="152">
        <v>26307.886739999998</v>
      </c>
      <c r="Y128" s="154">
        <v>26307.886740000002</v>
      </c>
      <c r="Z128" s="152">
        <f>V128-X128</f>
        <v>368310.41974000004</v>
      </c>
      <c r="AA128" s="152"/>
      <c r="AB128" s="152"/>
      <c r="AC128" s="152">
        <v>100000</v>
      </c>
      <c r="AD128" s="169"/>
      <c r="AE128" s="169"/>
      <c r="AF128" s="169"/>
      <c r="AG128" s="169"/>
      <c r="AH128" s="214">
        <v>0.15</v>
      </c>
      <c r="AI128" s="215">
        <v>0.83</v>
      </c>
      <c r="AJ128" s="215" t="s">
        <v>259</v>
      </c>
      <c r="AK128" s="230">
        <v>46746</v>
      </c>
      <c r="AL128" s="230">
        <v>46746</v>
      </c>
      <c r="AM128" s="230">
        <v>46383</v>
      </c>
      <c r="AN128" s="74">
        <f t="shared" si="87"/>
        <v>-7.4000004678964615E-4</v>
      </c>
    </row>
    <row r="129" spans="1:40" ht="121.5" x14ac:dyDescent="0.25">
      <c r="A129" s="104">
        <v>2</v>
      </c>
      <c r="B129" s="105" t="s">
        <v>207</v>
      </c>
      <c r="C129" s="100" t="s">
        <v>208</v>
      </c>
      <c r="D129" s="148">
        <v>518876.97200000001</v>
      </c>
      <c r="E129" s="152" t="s">
        <v>17</v>
      </c>
      <c r="F129" s="152">
        <v>155663.09150000001</v>
      </c>
      <c r="G129" s="150">
        <f>F129/D129</f>
        <v>0.2999999998072761</v>
      </c>
      <c r="H129" s="152">
        <v>155663.09150000001</v>
      </c>
      <c r="I129" s="151">
        <f>H129/F129</f>
        <v>1</v>
      </c>
      <c r="J129" s="152">
        <v>129719.243</v>
      </c>
      <c r="K129" s="152">
        <v>155663.09150000001</v>
      </c>
      <c r="L129" s="150">
        <f t="shared" si="108"/>
        <v>1</v>
      </c>
      <c r="M129" s="148">
        <v>155663.09150000001</v>
      </c>
      <c r="N129" s="151">
        <f t="shared" si="109"/>
        <v>0.2999999998072761</v>
      </c>
      <c r="O129" s="152">
        <v>0</v>
      </c>
      <c r="P129" s="151">
        <f t="shared" si="110"/>
        <v>0</v>
      </c>
      <c r="Q129" s="152">
        <v>0</v>
      </c>
      <c r="R129" s="152">
        <v>129719.243</v>
      </c>
      <c r="S129" s="153">
        <v>389157.72866000002</v>
      </c>
      <c r="T129" s="152">
        <v>414264.842</v>
      </c>
      <c r="U129" s="152"/>
      <c r="V129" s="152">
        <v>389157.72866000002</v>
      </c>
      <c r="W129" s="152"/>
      <c r="X129" s="152">
        <v>25943.8485</v>
      </c>
      <c r="Y129" s="154">
        <v>25943.8485</v>
      </c>
      <c r="Z129" s="152">
        <f>V129-X129</f>
        <v>363213.88016</v>
      </c>
      <c r="AA129" s="152"/>
      <c r="AB129" s="152"/>
      <c r="AC129" s="152">
        <v>100000</v>
      </c>
      <c r="AD129" s="169"/>
      <c r="AE129" s="169"/>
      <c r="AF129" s="169"/>
      <c r="AG129" s="169"/>
      <c r="AH129" s="214">
        <v>0.25</v>
      </c>
      <c r="AI129" s="215">
        <v>1</v>
      </c>
      <c r="AJ129" s="215" t="s">
        <v>259</v>
      </c>
      <c r="AK129" s="230">
        <v>46746</v>
      </c>
      <c r="AL129" s="230">
        <v>46746</v>
      </c>
      <c r="AM129" s="230">
        <v>46383</v>
      </c>
      <c r="AN129" s="74">
        <f t="shared" si="87"/>
        <v>3.3999996958300471E-4</v>
      </c>
    </row>
    <row r="130" spans="1:40" ht="93" x14ac:dyDescent="0.35">
      <c r="A130" s="122">
        <v>3</v>
      </c>
      <c r="B130" s="117" t="s">
        <v>211</v>
      </c>
      <c r="C130" s="100" t="s">
        <v>212</v>
      </c>
      <c r="D130" s="148">
        <v>2165750.9</v>
      </c>
      <c r="E130" s="149" t="s">
        <v>22</v>
      </c>
      <c r="F130" s="152">
        <v>216575.09</v>
      </c>
      <c r="G130" s="150">
        <f t="shared" si="65"/>
        <v>0.1</v>
      </c>
      <c r="H130" s="152">
        <v>216575.09</v>
      </c>
      <c r="I130" s="151">
        <f>H130/F130</f>
        <v>1</v>
      </c>
      <c r="J130" s="152">
        <v>10152.307150000001</v>
      </c>
      <c r="K130" s="152">
        <v>216575.09</v>
      </c>
      <c r="L130" s="150">
        <f t="shared" si="108"/>
        <v>1</v>
      </c>
      <c r="M130" s="148">
        <v>216575.08915000001</v>
      </c>
      <c r="N130" s="151">
        <f t="shared" si="109"/>
        <v>9.9999999607526438E-2</v>
      </c>
      <c r="O130" s="152">
        <v>0</v>
      </c>
      <c r="P130" s="151">
        <f t="shared" si="110"/>
        <v>0</v>
      </c>
      <c r="Q130" s="152">
        <v>0</v>
      </c>
      <c r="R130" s="152">
        <v>10152.307150000001</v>
      </c>
      <c r="S130" s="153">
        <v>720986.80637999997</v>
      </c>
      <c r="T130" s="152">
        <v>308312.73499999999</v>
      </c>
      <c r="U130" s="152"/>
      <c r="V130" s="152">
        <v>297793.54634</v>
      </c>
      <c r="W130" s="154">
        <v>882000</v>
      </c>
      <c r="X130" s="152">
        <v>206422.78284999999</v>
      </c>
      <c r="Y130" s="152"/>
      <c r="Z130" s="152">
        <f>V130-X130</f>
        <v>91370.763490000012</v>
      </c>
      <c r="AA130" s="152">
        <v>1434611.7864699999</v>
      </c>
      <c r="AB130" s="152">
        <v>1857805.04651</v>
      </c>
      <c r="AC130" s="152">
        <v>2058992.8</v>
      </c>
      <c r="AD130" s="169"/>
      <c r="AE130" s="169"/>
      <c r="AF130" s="169"/>
      <c r="AG130" s="169"/>
      <c r="AH130" s="223" t="s">
        <v>247</v>
      </c>
      <c r="AI130" s="221"/>
      <c r="AJ130" s="222"/>
      <c r="AK130" s="174"/>
      <c r="AL130" s="174"/>
      <c r="AM130" s="174"/>
      <c r="AN130" s="74">
        <f t="shared" si="87"/>
        <v>8.4999995306134224E-4</v>
      </c>
    </row>
    <row r="131" spans="1:40" ht="77.25" customHeight="1" x14ac:dyDescent="0.35">
      <c r="A131" s="77"/>
      <c r="B131" s="78" t="s">
        <v>281</v>
      </c>
      <c r="C131" s="79"/>
      <c r="D131" s="177">
        <f>SUM(D132)</f>
        <v>24080.922119999999</v>
      </c>
      <c r="E131" s="177">
        <f t="shared" ref="E131:R136" si="119">SUM(E132)</f>
        <v>0</v>
      </c>
      <c r="F131" s="177">
        <f t="shared" si="119"/>
        <v>12044.46106</v>
      </c>
      <c r="G131" s="178">
        <f t="shared" si="119"/>
        <v>0.50016610659592131</v>
      </c>
      <c r="H131" s="177">
        <f t="shared" si="119"/>
        <v>12040.46106</v>
      </c>
      <c r="I131" s="178">
        <f t="shared" si="119"/>
        <v>0.99966789713710946</v>
      </c>
      <c r="J131" s="177">
        <f t="shared" si="119"/>
        <v>0</v>
      </c>
      <c r="K131" s="177">
        <f t="shared" si="119"/>
        <v>12040.46106</v>
      </c>
      <c r="L131" s="178">
        <f t="shared" si="119"/>
        <v>1</v>
      </c>
      <c r="M131" s="177">
        <f t="shared" si="119"/>
        <v>12044.46106</v>
      </c>
      <c r="N131" s="178">
        <f t="shared" si="119"/>
        <v>0.50016610659592131</v>
      </c>
      <c r="O131" s="177">
        <f t="shared" si="119"/>
        <v>0</v>
      </c>
      <c r="P131" s="178">
        <f t="shared" si="119"/>
        <v>0</v>
      </c>
      <c r="Q131" s="177">
        <f t="shared" si="119"/>
        <v>0</v>
      </c>
      <c r="R131" s="177">
        <f t="shared" si="119"/>
        <v>0</v>
      </c>
      <c r="S131" s="177">
        <f>SUM(S132)</f>
        <v>720986.80637999997</v>
      </c>
      <c r="T131" s="177">
        <f t="shared" ref="T131:T135" si="120">SUM(T132)</f>
        <v>235686</v>
      </c>
      <c r="U131" s="177">
        <f t="shared" ref="U131:U135" si="121">SUM(U132)</f>
        <v>0</v>
      </c>
      <c r="V131" s="177">
        <f t="shared" ref="V131:V135" si="122">SUM(V132)</f>
        <v>24080.922119999999</v>
      </c>
      <c r="W131" s="177">
        <f t="shared" ref="W131:W135" si="123">SUM(W132)</f>
        <v>0</v>
      </c>
      <c r="X131" s="177">
        <f t="shared" ref="X131:X135" si="124">SUM(X132)</f>
        <v>12044.46106</v>
      </c>
      <c r="Y131" s="177">
        <f t="shared" ref="Y131:Y135" si="125">SUM(Y132)</f>
        <v>12044.46106</v>
      </c>
      <c r="Z131" s="177">
        <f t="shared" ref="Z131:Z133" si="126">SUM(Z132)</f>
        <v>12036.46106</v>
      </c>
      <c r="AA131" s="177">
        <f t="shared" ref="AA131" si="127">SUM(AA132)</f>
        <v>0</v>
      </c>
      <c r="AB131" s="177">
        <f t="shared" ref="AB131:AD135" si="128">SUM(AB132)</f>
        <v>0</v>
      </c>
      <c r="AC131" s="177">
        <f t="shared" ref="AC131" si="129">SUM(AC132)</f>
        <v>0</v>
      </c>
      <c r="AD131" s="177">
        <f t="shared" ref="AD131" si="130">SUM(AD132)</f>
        <v>0</v>
      </c>
      <c r="AE131" s="177">
        <f t="shared" ref="AE131" si="131">SUM(AE132)</f>
        <v>0</v>
      </c>
      <c r="AF131" s="177">
        <f t="shared" ref="AF131:AF133" si="132">SUM(AF132)</f>
        <v>0</v>
      </c>
      <c r="AG131" s="177">
        <f t="shared" ref="AG131:AG133" si="133">SUM(AG132)</f>
        <v>0</v>
      </c>
      <c r="AH131" s="238"/>
      <c r="AI131" s="239"/>
      <c r="AJ131" s="240"/>
      <c r="AK131" s="238"/>
      <c r="AL131" s="238"/>
      <c r="AM131" s="238"/>
      <c r="AN131" s="74">
        <f t="shared" ref="AN131:AN132" si="134">D131-M131-Z131-AB131-AD131-AF131</f>
        <v>0</v>
      </c>
    </row>
    <row r="132" spans="1:40" s="116" customFormat="1" ht="175.5" customHeight="1" x14ac:dyDescent="0.35">
      <c r="A132" s="125">
        <v>1</v>
      </c>
      <c r="B132" s="123" t="s">
        <v>55</v>
      </c>
      <c r="C132" s="112" t="s">
        <v>282</v>
      </c>
      <c r="D132" s="163">
        <v>24080.922119999999</v>
      </c>
      <c r="E132" s="164" t="s">
        <v>17</v>
      </c>
      <c r="F132" s="155">
        <v>12044.46106</v>
      </c>
      <c r="G132" s="165">
        <f t="shared" ref="G132" si="135">F132/D132</f>
        <v>0.50016610659592131</v>
      </c>
      <c r="H132" s="155">
        <v>12040.46106</v>
      </c>
      <c r="I132" s="166">
        <f>H132/F132</f>
        <v>0.99966789713710946</v>
      </c>
      <c r="J132" s="155">
        <v>0</v>
      </c>
      <c r="K132" s="155">
        <v>12040.46106</v>
      </c>
      <c r="L132" s="165">
        <f t="shared" ref="L132" si="136">K132/H132</f>
        <v>1</v>
      </c>
      <c r="M132" s="163">
        <v>12044.46106</v>
      </c>
      <c r="N132" s="166">
        <f t="shared" ref="N132" si="137">M132/D132</f>
        <v>0.50016610659592131</v>
      </c>
      <c r="O132" s="155">
        <v>0</v>
      </c>
      <c r="P132" s="166">
        <f t="shared" ref="P132" si="138">O132/D132</f>
        <v>0</v>
      </c>
      <c r="Q132" s="155">
        <v>0</v>
      </c>
      <c r="R132" s="155">
        <v>0</v>
      </c>
      <c r="S132" s="167">
        <v>720986.80637999997</v>
      </c>
      <c r="T132" s="155">
        <v>235686</v>
      </c>
      <c r="U132" s="155"/>
      <c r="V132" s="155">
        <v>24080.922119999999</v>
      </c>
      <c r="W132" s="179"/>
      <c r="X132" s="155">
        <v>12044.46106</v>
      </c>
      <c r="Y132" s="155">
        <v>12044.46106</v>
      </c>
      <c r="Z132" s="155">
        <f>V132-X132</f>
        <v>12036.46106</v>
      </c>
      <c r="AA132" s="155">
        <v>0</v>
      </c>
      <c r="AB132" s="155">
        <v>0</v>
      </c>
      <c r="AC132" s="155">
        <v>0</v>
      </c>
      <c r="AD132" s="169"/>
      <c r="AE132" s="169"/>
      <c r="AF132" s="169"/>
      <c r="AG132" s="169"/>
      <c r="AH132" s="232"/>
      <c r="AI132" s="241"/>
      <c r="AJ132" s="242"/>
      <c r="AK132" s="243"/>
      <c r="AL132" s="243"/>
      <c r="AM132" s="243"/>
      <c r="AN132" s="115">
        <f t="shared" si="134"/>
        <v>0</v>
      </c>
    </row>
    <row r="133" spans="1:40" ht="45" customHeight="1" x14ac:dyDescent="0.35">
      <c r="A133" s="76"/>
      <c r="B133" s="78" t="s">
        <v>285</v>
      </c>
      <c r="C133" s="79"/>
      <c r="D133" s="177">
        <f>SUM(D134)</f>
        <v>620448.08921000001</v>
      </c>
      <c r="E133" s="177">
        <f t="shared" ref="E133:E135" si="139">SUM(E137)</f>
        <v>0</v>
      </c>
      <c r="F133" s="177">
        <f>SUM(F134)</f>
        <v>186134.42676</v>
      </c>
      <c r="G133" s="178">
        <f t="shared" si="119"/>
        <v>0.2999999999951648</v>
      </c>
      <c r="H133" s="177">
        <f t="shared" si="119"/>
        <v>7161.5878700000003</v>
      </c>
      <c r="I133" s="178">
        <f t="shared" si="119"/>
        <v>3.8475353510149336E-2</v>
      </c>
      <c r="J133" s="177">
        <f t="shared" si="119"/>
        <v>0</v>
      </c>
      <c r="K133" s="177">
        <f t="shared" si="119"/>
        <v>7161.5878700000003</v>
      </c>
      <c r="L133" s="178">
        <f t="shared" si="119"/>
        <v>1</v>
      </c>
      <c r="M133" s="177">
        <f t="shared" si="119"/>
        <v>7161.5878700000003</v>
      </c>
      <c r="N133" s="178">
        <f t="shared" si="119"/>
        <v>1.1542606052858763E-2</v>
      </c>
      <c r="O133" s="177">
        <f t="shared" si="119"/>
        <v>0</v>
      </c>
      <c r="P133" s="178">
        <f t="shared" si="119"/>
        <v>0</v>
      </c>
      <c r="Q133" s="177">
        <f t="shared" si="119"/>
        <v>0</v>
      </c>
      <c r="R133" s="177">
        <f t="shared" si="119"/>
        <v>0</v>
      </c>
      <c r="S133" s="177">
        <f>SUM(S137)</f>
        <v>0</v>
      </c>
      <c r="T133" s="177">
        <f t="shared" si="120"/>
        <v>40000</v>
      </c>
      <c r="U133" s="177">
        <f t="shared" si="121"/>
        <v>0</v>
      </c>
      <c r="V133" s="177">
        <f t="shared" si="122"/>
        <v>23871.959559999999</v>
      </c>
      <c r="W133" s="177">
        <f t="shared" si="123"/>
        <v>0</v>
      </c>
      <c r="X133" s="177">
        <f t="shared" si="124"/>
        <v>7161.5878700000003</v>
      </c>
      <c r="Y133" s="177">
        <f t="shared" si="125"/>
        <v>0</v>
      </c>
      <c r="Z133" s="177">
        <f t="shared" si="126"/>
        <v>16710.37169</v>
      </c>
      <c r="AA133" s="177">
        <f t="shared" ref="AA133:AA135" si="140">SUM(AA137)</f>
        <v>0</v>
      </c>
      <c r="AB133" s="177">
        <f t="shared" si="128"/>
        <v>100000</v>
      </c>
      <c r="AC133" s="177">
        <f>SUM(AC134)</f>
        <v>100000</v>
      </c>
      <c r="AD133" s="177">
        <f>SUM(AD134)</f>
        <v>496576.12965000002</v>
      </c>
      <c r="AE133" s="177">
        <f>SUM(AE134)</f>
        <v>500000</v>
      </c>
      <c r="AF133" s="177">
        <f t="shared" si="132"/>
        <v>0</v>
      </c>
      <c r="AG133" s="177">
        <f t="shared" si="133"/>
        <v>0</v>
      </c>
      <c r="AH133" s="238"/>
      <c r="AI133" s="239"/>
      <c r="AJ133" s="240"/>
      <c r="AK133" s="238"/>
      <c r="AL133" s="238"/>
      <c r="AM133" s="238"/>
      <c r="AN133" s="74">
        <f t="shared" ref="AN133:AN134" si="141">D133-M133-Z133-AB133-AD133-AF133</f>
        <v>0</v>
      </c>
    </row>
    <row r="134" spans="1:40" ht="279" x14ac:dyDescent="0.35">
      <c r="A134" s="126">
        <v>1</v>
      </c>
      <c r="B134" s="123" t="s">
        <v>290</v>
      </c>
      <c r="C134" s="112" t="s">
        <v>286</v>
      </c>
      <c r="D134" s="163">
        <v>620448.08921000001</v>
      </c>
      <c r="E134" s="164" t="s">
        <v>22</v>
      </c>
      <c r="F134" s="155">
        <v>186134.42676</v>
      </c>
      <c r="G134" s="165">
        <f t="shared" ref="G134" si="142">F134/D134</f>
        <v>0.2999999999951648</v>
      </c>
      <c r="H134" s="155">
        <v>7161.5878700000003</v>
      </c>
      <c r="I134" s="166">
        <f>H134/F134</f>
        <v>3.8475353510149336E-2</v>
      </c>
      <c r="J134" s="155">
        <v>0</v>
      </c>
      <c r="K134" s="155">
        <v>7161.5878700000003</v>
      </c>
      <c r="L134" s="165">
        <f t="shared" ref="L134" si="143">K134/H134</f>
        <v>1</v>
      </c>
      <c r="M134" s="163">
        <v>7161.5878700000003</v>
      </c>
      <c r="N134" s="166">
        <f t="shared" ref="N134" si="144">M134/D134</f>
        <v>1.1542606052858763E-2</v>
      </c>
      <c r="O134" s="155">
        <v>0</v>
      </c>
      <c r="P134" s="166">
        <f t="shared" ref="P134" si="145">O134/D134</f>
        <v>0</v>
      </c>
      <c r="Q134" s="155">
        <v>0</v>
      </c>
      <c r="R134" s="155">
        <v>0</v>
      </c>
      <c r="S134" s="167">
        <v>720986.80637999997</v>
      </c>
      <c r="T134" s="155">
        <v>40000</v>
      </c>
      <c r="U134" s="155"/>
      <c r="V134" s="155">
        <v>23871.959559999999</v>
      </c>
      <c r="W134" s="179"/>
      <c r="X134" s="155">
        <v>7161.5878700000003</v>
      </c>
      <c r="Y134" s="155"/>
      <c r="Z134" s="155">
        <f>V134-X134</f>
        <v>16710.37169</v>
      </c>
      <c r="AA134" s="155">
        <v>0</v>
      </c>
      <c r="AB134" s="155">
        <v>100000</v>
      </c>
      <c r="AC134" s="155">
        <v>100000</v>
      </c>
      <c r="AD134" s="155">
        <v>496576.12965000002</v>
      </c>
      <c r="AE134" s="155">
        <v>500000</v>
      </c>
      <c r="AF134" s="155"/>
      <c r="AG134" s="155"/>
      <c r="AH134" s="232"/>
      <c r="AI134" s="241"/>
      <c r="AJ134" s="242"/>
      <c r="AK134" s="243"/>
      <c r="AL134" s="243"/>
      <c r="AM134" s="243"/>
      <c r="AN134" s="74">
        <f t="shared" si="141"/>
        <v>0</v>
      </c>
    </row>
    <row r="135" spans="1:40" ht="41.25" customHeight="1" x14ac:dyDescent="0.35">
      <c r="A135" s="76"/>
      <c r="B135" s="78" t="s">
        <v>291</v>
      </c>
      <c r="C135" s="79"/>
      <c r="D135" s="177">
        <f>SUM(D136)</f>
        <v>89183.072899999999</v>
      </c>
      <c r="E135" s="177">
        <f t="shared" si="139"/>
        <v>0</v>
      </c>
      <c r="F135" s="177">
        <f>SUM(F136)</f>
        <v>44591.53645</v>
      </c>
      <c r="G135" s="178">
        <f t="shared" si="119"/>
        <v>0.5</v>
      </c>
      <c r="H135" s="177">
        <f t="shared" si="119"/>
        <v>44591.53645</v>
      </c>
      <c r="I135" s="178">
        <f t="shared" si="119"/>
        <v>1</v>
      </c>
      <c r="J135" s="177">
        <f t="shared" si="119"/>
        <v>0</v>
      </c>
      <c r="K135" s="177">
        <f t="shared" si="119"/>
        <v>44591.53645</v>
      </c>
      <c r="L135" s="178">
        <f t="shared" si="119"/>
        <v>0</v>
      </c>
      <c r="M135" s="177">
        <f t="shared" si="119"/>
        <v>44591.53645</v>
      </c>
      <c r="N135" s="178">
        <f t="shared" si="119"/>
        <v>0.5</v>
      </c>
      <c r="O135" s="177">
        <f t="shared" si="119"/>
        <v>0</v>
      </c>
      <c r="P135" s="178">
        <f t="shared" si="119"/>
        <v>0</v>
      </c>
      <c r="Q135" s="177">
        <f t="shared" si="119"/>
        <v>0</v>
      </c>
      <c r="R135" s="177">
        <f t="shared" si="119"/>
        <v>0</v>
      </c>
      <c r="S135" s="177">
        <f>SUM(S139)</f>
        <v>0</v>
      </c>
      <c r="T135" s="177">
        <f t="shared" si="120"/>
        <v>62237.52</v>
      </c>
      <c r="U135" s="177">
        <f t="shared" si="121"/>
        <v>0</v>
      </c>
      <c r="V135" s="177">
        <f t="shared" si="122"/>
        <v>44591.53645</v>
      </c>
      <c r="W135" s="177">
        <f t="shared" si="123"/>
        <v>0</v>
      </c>
      <c r="X135" s="177">
        <f t="shared" si="124"/>
        <v>44591.53645</v>
      </c>
      <c r="Y135" s="177">
        <f t="shared" si="125"/>
        <v>44591.53645</v>
      </c>
      <c r="Z135" s="177">
        <f>SUM(Z136)</f>
        <v>0</v>
      </c>
      <c r="AA135" s="177">
        <f t="shared" si="140"/>
        <v>0</v>
      </c>
      <c r="AB135" s="177">
        <f>SUM(AB136)</f>
        <v>44591.53645</v>
      </c>
      <c r="AC135" s="177">
        <f>SUM(AC136)</f>
        <v>72762.48</v>
      </c>
      <c r="AD135" s="177">
        <f t="shared" si="128"/>
        <v>0</v>
      </c>
      <c r="AE135" s="177">
        <f>SUM(AE136)</f>
        <v>0</v>
      </c>
      <c r="AF135" s="177">
        <f>SUM(AF136)</f>
        <v>0</v>
      </c>
      <c r="AG135" s="177">
        <f>SUM(AG136)</f>
        <v>0</v>
      </c>
      <c r="AH135" s="238"/>
      <c r="AI135" s="239"/>
      <c r="AJ135" s="240"/>
      <c r="AK135" s="238"/>
      <c r="AL135" s="238"/>
      <c r="AM135" s="238"/>
      <c r="AN135" s="74">
        <f t="shared" ref="AN135:AN136" si="146">D135-M135-Z135-AB135-AD135-AF135</f>
        <v>0</v>
      </c>
    </row>
    <row r="136" spans="1:40" ht="69.75" x14ac:dyDescent="0.35">
      <c r="A136" s="126">
        <v>1</v>
      </c>
      <c r="B136" s="123" t="s">
        <v>289</v>
      </c>
      <c r="C136" s="112" t="s">
        <v>288</v>
      </c>
      <c r="D136" s="163">
        <v>89183.072899999999</v>
      </c>
      <c r="E136" s="164" t="s">
        <v>287</v>
      </c>
      <c r="F136" s="155">
        <v>44591.53645</v>
      </c>
      <c r="G136" s="165">
        <f t="shared" ref="G136" si="147">F136/D136</f>
        <v>0.5</v>
      </c>
      <c r="H136" s="155">
        <v>44591.53645</v>
      </c>
      <c r="I136" s="166">
        <f>H136/F136</f>
        <v>1</v>
      </c>
      <c r="J136" s="155">
        <v>0</v>
      </c>
      <c r="K136" s="155">
        <v>44591.53645</v>
      </c>
      <c r="L136" s="166">
        <f t="shared" si="119"/>
        <v>0</v>
      </c>
      <c r="M136" s="155">
        <v>44591.53645</v>
      </c>
      <c r="N136" s="166">
        <f t="shared" ref="N136" si="148">M136/D136</f>
        <v>0.5</v>
      </c>
      <c r="O136" s="155">
        <v>0</v>
      </c>
      <c r="P136" s="166">
        <f t="shared" ref="P136" si="149">O136/D136</f>
        <v>0</v>
      </c>
      <c r="Q136" s="155">
        <v>0</v>
      </c>
      <c r="R136" s="155">
        <v>0</v>
      </c>
      <c r="S136" s="167">
        <v>720986.80637999997</v>
      </c>
      <c r="T136" s="155">
        <v>62237.52</v>
      </c>
      <c r="U136" s="155"/>
      <c r="V136" s="155">
        <v>44591.53645</v>
      </c>
      <c r="W136" s="179"/>
      <c r="X136" s="155">
        <v>44591.53645</v>
      </c>
      <c r="Y136" s="155">
        <v>44591.53645</v>
      </c>
      <c r="Z136" s="155">
        <f>V136-X136</f>
        <v>0</v>
      </c>
      <c r="AA136" s="155">
        <v>0</v>
      </c>
      <c r="AB136" s="155">
        <v>44591.53645</v>
      </c>
      <c r="AC136" s="155">
        <v>72762.48</v>
      </c>
      <c r="AD136" s="155"/>
      <c r="AE136" s="155"/>
      <c r="AF136" s="155"/>
      <c r="AG136" s="155"/>
      <c r="AH136" s="232"/>
      <c r="AI136" s="241"/>
      <c r="AJ136" s="242"/>
      <c r="AK136" s="243"/>
      <c r="AL136" s="243"/>
      <c r="AM136" s="243"/>
      <c r="AN136" s="74">
        <f t="shared" si="146"/>
        <v>0</v>
      </c>
    </row>
    <row r="137" spans="1:40" ht="18.75" customHeight="1" x14ac:dyDescent="0.3">
      <c r="B137" s="59"/>
      <c r="C137" s="65"/>
      <c r="D137" s="180"/>
      <c r="E137" s="181"/>
      <c r="F137" s="182"/>
      <c r="G137" s="183"/>
      <c r="H137" s="182"/>
      <c r="I137" s="184"/>
      <c r="J137" s="185"/>
      <c r="K137" s="186"/>
      <c r="L137" s="187"/>
      <c r="M137" s="188"/>
      <c r="N137" s="185"/>
      <c r="O137" s="189"/>
      <c r="P137" s="190"/>
      <c r="Q137" s="189"/>
      <c r="R137" s="189"/>
      <c r="S137" s="191"/>
      <c r="T137" s="192"/>
      <c r="U137" s="192"/>
      <c r="V137" s="192"/>
      <c r="AA137" s="195"/>
      <c r="AB137" s="195"/>
      <c r="AC137" s="195"/>
      <c r="AD137" s="196"/>
      <c r="AE137" s="196"/>
      <c r="AF137" s="197"/>
      <c r="AG137" s="197"/>
    </row>
    <row r="138" spans="1:40" ht="15.75" customHeight="1" x14ac:dyDescent="0.3">
      <c r="B138" s="59"/>
      <c r="C138" s="65"/>
      <c r="D138" s="180"/>
      <c r="E138" s="181"/>
      <c r="F138" s="198"/>
      <c r="G138" s="199"/>
      <c r="H138" s="180" t="s">
        <v>248</v>
      </c>
      <c r="I138" s="184"/>
      <c r="J138" s="185"/>
      <c r="K138" s="186"/>
      <c r="L138" s="187"/>
      <c r="M138" s="200"/>
      <c r="N138" s="185"/>
      <c r="O138" s="189"/>
      <c r="P138" s="190"/>
      <c r="Q138" s="189"/>
      <c r="R138" s="189"/>
      <c r="S138" s="191"/>
      <c r="T138" s="192"/>
      <c r="U138" s="192"/>
      <c r="V138" s="192"/>
      <c r="AA138" s="195"/>
      <c r="AB138" s="195"/>
      <c r="AC138" s="195"/>
      <c r="AD138" s="196"/>
      <c r="AE138" s="196"/>
      <c r="AF138" s="197"/>
      <c r="AG138" s="197"/>
    </row>
    <row r="139" spans="1:40" ht="15.75" customHeight="1" x14ac:dyDescent="0.3">
      <c r="B139" s="59"/>
      <c r="C139" s="65"/>
      <c r="D139" s="180"/>
      <c r="E139" s="181"/>
      <c r="F139" s="198"/>
      <c r="G139" s="199"/>
      <c r="H139" s="201" t="s">
        <v>249</v>
      </c>
      <c r="I139" s="184"/>
      <c r="J139" s="185"/>
      <c r="K139" s="186"/>
      <c r="L139" s="187"/>
      <c r="M139" s="200"/>
      <c r="N139" s="185"/>
      <c r="O139" s="189"/>
      <c r="P139" s="190"/>
      <c r="Q139" s="189"/>
      <c r="R139" s="189"/>
      <c r="S139" s="191"/>
      <c r="T139" s="192"/>
      <c r="U139" s="192"/>
      <c r="V139" s="192"/>
      <c r="AA139" s="195"/>
      <c r="AB139" s="195"/>
      <c r="AC139" s="195"/>
      <c r="AD139" s="196"/>
      <c r="AE139" s="196"/>
      <c r="AF139" s="197"/>
      <c r="AG139" s="197"/>
    </row>
    <row r="140" spans="1:40" ht="15.75" customHeight="1" x14ac:dyDescent="0.3">
      <c r="B140" s="59"/>
      <c r="C140" s="65"/>
      <c r="D140" s="180"/>
      <c r="E140" s="181"/>
      <c r="F140" s="198"/>
      <c r="G140" s="202"/>
      <c r="H140" s="201" t="s">
        <v>250</v>
      </c>
      <c r="I140" s="184"/>
      <c r="J140" s="185"/>
      <c r="K140" s="186"/>
      <c r="L140" s="187"/>
      <c r="M140" s="200"/>
      <c r="N140" s="185"/>
      <c r="O140" s="189"/>
      <c r="P140" s="190"/>
      <c r="Q140" s="189"/>
      <c r="R140" s="189"/>
      <c r="S140" s="191"/>
      <c r="T140" s="192"/>
      <c r="U140" s="192"/>
      <c r="V140" s="192"/>
      <c r="AA140" s="195"/>
      <c r="AB140" s="195"/>
      <c r="AC140" s="195"/>
      <c r="AD140" s="196"/>
      <c r="AE140" s="196"/>
      <c r="AF140" s="197"/>
      <c r="AG140" s="197"/>
    </row>
    <row r="141" spans="1:40" ht="15.75" customHeight="1" x14ac:dyDescent="0.3">
      <c r="B141" s="59"/>
      <c r="C141" s="65"/>
      <c r="D141" s="180"/>
      <c r="E141" s="181"/>
      <c r="F141" s="198"/>
      <c r="G141" s="183"/>
      <c r="H141" s="198"/>
      <c r="I141" s="184"/>
      <c r="J141" s="185"/>
      <c r="K141" s="186"/>
      <c r="L141" s="187"/>
      <c r="M141" s="200"/>
      <c r="N141" s="185"/>
      <c r="O141" s="189"/>
      <c r="P141" s="190"/>
      <c r="Q141" s="189"/>
      <c r="R141" s="189"/>
      <c r="S141" s="191"/>
      <c r="T141" s="192"/>
      <c r="U141" s="192"/>
      <c r="V141" s="192"/>
      <c r="AA141" s="195"/>
      <c r="AB141" s="195"/>
      <c r="AC141" s="195"/>
      <c r="AD141" s="196"/>
      <c r="AE141" s="196"/>
      <c r="AF141" s="197"/>
      <c r="AG141" s="197"/>
    </row>
    <row r="142" spans="1:40" ht="15.75" customHeight="1" x14ac:dyDescent="0.3">
      <c r="B142" s="59"/>
      <c r="C142" s="65"/>
      <c r="D142" s="180"/>
      <c r="E142" s="181"/>
      <c r="F142" s="198"/>
      <c r="G142" s="183"/>
      <c r="H142" s="198"/>
      <c r="I142" s="184"/>
      <c r="J142" s="185"/>
      <c r="K142" s="186"/>
      <c r="L142" s="187"/>
      <c r="M142" s="200"/>
      <c r="N142" s="185"/>
      <c r="O142" s="189"/>
      <c r="P142" s="190"/>
      <c r="Q142" s="189"/>
      <c r="R142" s="189"/>
      <c r="S142" s="191"/>
      <c r="T142" s="192"/>
      <c r="U142" s="192"/>
      <c r="V142" s="192"/>
      <c r="AA142" s="195"/>
      <c r="AB142" s="195"/>
      <c r="AC142" s="195"/>
      <c r="AD142" s="196"/>
      <c r="AE142" s="196"/>
      <c r="AF142" s="197"/>
      <c r="AG142" s="197"/>
    </row>
    <row r="143" spans="1:40" ht="15.75" customHeight="1" x14ac:dyDescent="0.3">
      <c r="B143" s="59"/>
      <c r="C143" s="65"/>
      <c r="D143" s="180"/>
      <c r="E143" s="181"/>
      <c r="F143" s="198"/>
      <c r="G143" s="183"/>
      <c r="H143" s="198"/>
      <c r="I143" s="184"/>
      <c r="J143" s="185"/>
      <c r="K143" s="186"/>
      <c r="L143" s="187"/>
      <c r="M143" s="200"/>
      <c r="N143" s="185"/>
      <c r="O143" s="189"/>
      <c r="P143" s="190"/>
      <c r="Q143" s="189"/>
      <c r="R143" s="189"/>
      <c r="S143" s="191"/>
      <c r="T143" s="192"/>
      <c r="U143" s="192"/>
      <c r="V143" s="192"/>
      <c r="AA143" s="195"/>
      <c r="AB143" s="195"/>
      <c r="AC143" s="195"/>
      <c r="AD143" s="196"/>
      <c r="AE143" s="196"/>
      <c r="AF143" s="197"/>
      <c r="AG143" s="197"/>
    </row>
    <row r="144" spans="1:40" ht="15.75" customHeight="1" x14ac:dyDescent="0.3">
      <c r="B144" s="59"/>
      <c r="C144" s="65"/>
      <c r="D144" s="180"/>
      <c r="E144" s="181"/>
      <c r="F144" s="198"/>
      <c r="G144" s="183"/>
      <c r="H144" s="198"/>
      <c r="I144" s="184"/>
      <c r="J144" s="185"/>
      <c r="K144" s="186"/>
      <c r="L144" s="187"/>
      <c r="M144" s="200"/>
      <c r="N144" s="185"/>
      <c r="O144" s="189"/>
      <c r="P144" s="190"/>
      <c r="Q144" s="189"/>
      <c r="R144" s="189"/>
      <c r="S144" s="191"/>
      <c r="T144" s="192"/>
      <c r="U144" s="192"/>
      <c r="V144" s="192"/>
      <c r="AA144" s="195"/>
      <c r="AB144" s="195"/>
      <c r="AC144" s="195"/>
      <c r="AD144" s="196"/>
      <c r="AE144" s="196"/>
      <c r="AF144" s="197"/>
      <c r="AG144" s="197"/>
    </row>
    <row r="145" spans="2:33" ht="15.75" customHeight="1" x14ac:dyDescent="0.3">
      <c r="B145" s="59"/>
      <c r="C145" s="65"/>
      <c r="D145" s="180"/>
      <c r="E145" s="181"/>
      <c r="F145" s="198"/>
      <c r="G145" s="183"/>
      <c r="H145" s="198"/>
      <c r="I145" s="184"/>
      <c r="J145" s="185"/>
      <c r="K145" s="186"/>
      <c r="L145" s="187"/>
      <c r="M145" s="200"/>
      <c r="N145" s="185"/>
      <c r="O145" s="189"/>
      <c r="P145" s="190"/>
      <c r="Q145" s="189"/>
      <c r="R145" s="189"/>
      <c r="S145" s="191"/>
      <c r="T145" s="192"/>
      <c r="U145" s="192"/>
      <c r="V145" s="192"/>
      <c r="AA145" s="195"/>
      <c r="AB145" s="195"/>
      <c r="AC145" s="195"/>
      <c r="AD145" s="196"/>
      <c r="AE145" s="196"/>
      <c r="AF145" s="197"/>
      <c r="AG145" s="197"/>
    </row>
    <row r="146" spans="2:33" ht="15.75" customHeight="1" x14ac:dyDescent="0.3">
      <c r="B146" s="59"/>
      <c r="C146" s="65"/>
      <c r="D146" s="180"/>
      <c r="E146" s="181"/>
      <c r="F146" s="198"/>
      <c r="G146" s="183"/>
      <c r="H146" s="198"/>
      <c r="I146" s="184"/>
      <c r="J146" s="185"/>
      <c r="K146" s="186"/>
      <c r="L146" s="187"/>
      <c r="M146" s="200"/>
      <c r="N146" s="185"/>
      <c r="O146" s="189"/>
      <c r="P146" s="190"/>
      <c r="Q146" s="189"/>
      <c r="R146" s="189"/>
      <c r="S146" s="191"/>
      <c r="T146" s="192"/>
      <c r="U146" s="192"/>
      <c r="V146" s="192"/>
      <c r="AA146" s="195"/>
      <c r="AB146" s="195"/>
      <c r="AC146" s="195"/>
      <c r="AD146" s="196"/>
      <c r="AE146" s="196"/>
      <c r="AF146" s="197"/>
      <c r="AG146" s="197"/>
    </row>
    <row r="147" spans="2:33" ht="15.75" customHeight="1" x14ac:dyDescent="0.3">
      <c r="B147" s="59"/>
      <c r="C147" s="65"/>
      <c r="D147" s="180"/>
      <c r="E147" s="181"/>
      <c r="F147" s="198"/>
      <c r="G147" s="183"/>
      <c r="H147" s="198"/>
      <c r="I147" s="184"/>
      <c r="J147" s="185"/>
      <c r="K147" s="186"/>
      <c r="L147" s="187"/>
      <c r="M147" s="200"/>
      <c r="N147" s="185"/>
      <c r="O147" s="189"/>
      <c r="P147" s="190"/>
      <c r="Q147" s="189"/>
      <c r="R147" s="189"/>
      <c r="S147" s="191"/>
      <c r="T147" s="192"/>
      <c r="U147" s="192"/>
      <c r="V147" s="192"/>
      <c r="AA147" s="195"/>
      <c r="AB147" s="195"/>
      <c r="AC147" s="195"/>
      <c r="AD147" s="196"/>
      <c r="AE147" s="196"/>
      <c r="AF147" s="197"/>
      <c r="AG147" s="197"/>
    </row>
    <row r="148" spans="2:33" ht="15.75" customHeight="1" x14ac:dyDescent="0.3">
      <c r="B148" s="59"/>
      <c r="C148" s="65"/>
      <c r="D148" s="180"/>
      <c r="E148" s="181"/>
      <c r="F148" s="198"/>
      <c r="G148" s="183"/>
      <c r="H148" s="198"/>
      <c r="I148" s="184"/>
      <c r="J148" s="185"/>
      <c r="K148" s="186"/>
      <c r="L148" s="187"/>
      <c r="M148" s="200"/>
      <c r="N148" s="185"/>
      <c r="O148" s="189"/>
      <c r="P148" s="190"/>
      <c r="Q148" s="189"/>
      <c r="R148" s="189"/>
      <c r="S148" s="191"/>
      <c r="T148" s="192"/>
      <c r="U148" s="192"/>
      <c r="V148" s="192"/>
      <c r="AA148" s="195"/>
      <c r="AB148" s="195"/>
      <c r="AC148" s="195"/>
      <c r="AD148" s="196"/>
      <c r="AE148" s="196"/>
      <c r="AF148" s="197"/>
      <c r="AG148" s="197"/>
    </row>
    <row r="149" spans="2:33" ht="15.75" customHeight="1" x14ac:dyDescent="0.3">
      <c r="B149" s="59"/>
      <c r="C149" s="65"/>
      <c r="D149" s="180"/>
      <c r="E149" s="181"/>
      <c r="F149" s="198"/>
      <c r="G149" s="183"/>
      <c r="H149" s="198"/>
      <c r="I149" s="184"/>
      <c r="J149" s="185"/>
      <c r="K149" s="186"/>
      <c r="L149" s="187"/>
      <c r="M149" s="200"/>
      <c r="N149" s="185"/>
      <c r="O149" s="189"/>
      <c r="P149" s="190"/>
      <c r="Q149" s="189"/>
      <c r="R149" s="189"/>
      <c r="S149" s="191"/>
      <c r="T149" s="192"/>
      <c r="U149" s="192"/>
      <c r="V149" s="192"/>
      <c r="AA149" s="195"/>
      <c r="AB149" s="195"/>
      <c r="AC149" s="195"/>
      <c r="AD149" s="196"/>
      <c r="AE149" s="196"/>
      <c r="AF149" s="197"/>
      <c r="AG149" s="197"/>
    </row>
    <row r="150" spans="2:33" ht="15.75" customHeight="1" x14ac:dyDescent="0.3">
      <c r="B150" s="59"/>
      <c r="C150" s="65"/>
      <c r="D150" s="180"/>
      <c r="E150" s="181"/>
      <c r="F150" s="198"/>
      <c r="G150" s="183"/>
      <c r="H150" s="198"/>
      <c r="I150" s="184"/>
      <c r="J150" s="185"/>
      <c r="K150" s="186"/>
      <c r="L150" s="187"/>
      <c r="M150" s="200"/>
      <c r="N150" s="185"/>
      <c r="O150" s="189"/>
      <c r="P150" s="190"/>
      <c r="Q150" s="189"/>
      <c r="R150" s="189"/>
      <c r="S150" s="191"/>
      <c r="T150" s="192"/>
      <c r="U150" s="192"/>
      <c r="V150" s="192"/>
      <c r="AA150" s="195"/>
      <c r="AB150" s="195"/>
      <c r="AC150" s="195"/>
      <c r="AD150" s="196"/>
      <c r="AE150" s="196"/>
      <c r="AF150" s="197"/>
      <c r="AG150" s="197"/>
    </row>
    <row r="151" spans="2:33" ht="15.75" customHeight="1" x14ac:dyDescent="0.3">
      <c r="B151" s="59"/>
      <c r="C151" s="65"/>
      <c r="D151" s="180"/>
      <c r="E151" s="181"/>
      <c r="F151" s="198"/>
      <c r="G151" s="183"/>
      <c r="H151" s="198"/>
      <c r="I151" s="184"/>
      <c r="J151" s="185"/>
      <c r="K151" s="186"/>
      <c r="L151" s="187"/>
      <c r="M151" s="200"/>
      <c r="N151" s="185"/>
      <c r="O151" s="189"/>
      <c r="P151" s="190"/>
      <c r="Q151" s="189"/>
      <c r="R151" s="189"/>
      <c r="S151" s="191"/>
      <c r="T151" s="192"/>
      <c r="U151" s="192"/>
      <c r="V151" s="192"/>
      <c r="AA151" s="195"/>
      <c r="AB151" s="195"/>
      <c r="AC151" s="195"/>
      <c r="AD151" s="196"/>
      <c r="AE151" s="196"/>
      <c r="AF151" s="197"/>
      <c r="AG151" s="197"/>
    </row>
    <row r="152" spans="2:33" ht="15.75" customHeight="1" x14ac:dyDescent="0.3">
      <c r="B152" s="59"/>
      <c r="C152" s="65"/>
      <c r="D152" s="180"/>
      <c r="E152" s="181"/>
      <c r="F152" s="198"/>
      <c r="G152" s="183"/>
      <c r="H152" s="198"/>
      <c r="I152" s="184"/>
      <c r="J152" s="185"/>
      <c r="K152" s="186"/>
      <c r="L152" s="187"/>
      <c r="M152" s="200"/>
      <c r="N152" s="185"/>
      <c r="O152" s="189"/>
      <c r="P152" s="190"/>
      <c r="Q152" s="189"/>
      <c r="R152" s="189"/>
      <c r="S152" s="191"/>
      <c r="T152" s="192"/>
      <c r="U152" s="192"/>
      <c r="V152" s="192"/>
      <c r="AA152" s="195"/>
      <c r="AB152" s="195"/>
      <c r="AC152" s="195"/>
      <c r="AD152" s="196"/>
      <c r="AE152" s="196"/>
      <c r="AF152" s="197"/>
      <c r="AG152" s="197"/>
    </row>
    <row r="153" spans="2:33" ht="15.75" customHeight="1" x14ac:dyDescent="0.3">
      <c r="B153" s="59"/>
      <c r="C153" s="65"/>
      <c r="D153" s="180"/>
      <c r="E153" s="181"/>
      <c r="F153" s="198"/>
      <c r="G153" s="183"/>
      <c r="H153" s="198"/>
      <c r="I153" s="184"/>
      <c r="J153" s="185"/>
      <c r="K153" s="186"/>
      <c r="L153" s="187"/>
      <c r="M153" s="200"/>
      <c r="N153" s="185"/>
      <c r="O153" s="189"/>
      <c r="P153" s="190"/>
      <c r="Q153" s="189"/>
      <c r="R153" s="189"/>
      <c r="S153" s="191"/>
      <c r="T153" s="192"/>
      <c r="U153" s="192"/>
      <c r="V153" s="192"/>
      <c r="AA153" s="195"/>
      <c r="AB153" s="195"/>
      <c r="AC153" s="195"/>
      <c r="AD153" s="196"/>
      <c r="AE153" s="196"/>
      <c r="AF153" s="197"/>
      <c r="AG153" s="197"/>
    </row>
    <row r="154" spans="2:33" ht="15.75" customHeight="1" x14ac:dyDescent="0.3">
      <c r="B154" s="59"/>
      <c r="C154" s="65"/>
      <c r="D154" s="180"/>
      <c r="E154" s="181"/>
      <c r="F154" s="198"/>
      <c r="G154" s="183"/>
      <c r="H154" s="198"/>
      <c r="I154" s="184"/>
      <c r="J154" s="185"/>
      <c r="K154" s="186"/>
      <c r="L154" s="187"/>
      <c r="M154" s="200"/>
      <c r="N154" s="185"/>
      <c r="O154" s="189"/>
      <c r="P154" s="190"/>
      <c r="Q154" s="189"/>
      <c r="R154" s="189"/>
      <c r="S154" s="191"/>
      <c r="T154" s="192"/>
      <c r="U154" s="192"/>
      <c r="V154" s="192"/>
      <c r="AA154" s="195"/>
      <c r="AB154" s="195"/>
      <c r="AC154" s="195"/>
      <c r="AD154" s="196"/>
      <c r="AE154" s="196"/>
      <c r="AF154" s="197"/>
      <c r="AG154" s="197"/>
    </row>
    <row r="155" spans="2:33" ht="15.75" customHeight="1" x14ac:dyDescent="0.3">
      <c r="B155" s="59"/>
      <c r="C155" s="65"/>
      <c r="D155" s="180"/>
      <c r="E155" s="181"/>
      <c r="F155" s="198"/>
      <c r="G155" s="183"/>
      <c r="H155" s="198"/>
      <c r="I155" s="184"/>
      <c r="J155" s="185"/>
      <c r="K155" s="186"/>
      <c r="L155" s="187"/>
      <c r="M155" s="200"/>
      <c r="N155" s="185"/>
      <c r="O155" s="189"/>
      <c r="P155" s="190"/>
      <c r="Q155" s="189"/>
      <c r="R155" s="189"/>
      <c r="S155" s="191"/>
      <c r="T155" s="192"/>
      <c r="U155" s="192"/>
      <c r="V155" s="192"/>
      <c r="AA155" s="195"/>
      <c r="AB155" s="195"/>
      <c r="AC155" s="195"/>
      <c r="AD155" s="196"/>
      <c r="AE155" s="196"/>
      <c r="AF155" s="197"/>
      <c r="AG155" s="197"/>
    </row>
    <row r="156" spans="2:33" ht="15.75" customHeight="1" x14ac:dyDescent="0.3">
      <c r="B156" s="59"/>
      <c r="C156" s="65"/>
      <c r="D156" s="180"/>
      <c r="E156" s="181"/>
      <c r="F156" s="198"/>
      <c r="G156" s="183"/>
      <c r="H156" s="198"/>
      <c r="I156" s="184"/>
      <c r="J156" s="185"/>
      <c r="K156" s="186"/>
      <c r="L156" s="187"/>
      <c r="M156" s="200"/>
      <c r="N156" s="185"/>
      <c r="O156" s="189"/>
      <c r="P156" s="190"/>
      <c r="Q156" s="189"/>
      <c r="R156" s="189"/>
      <c r="S156" s="191"/>
      <c r="T156" s="192"/>
      <c r="U156" s="192"/>
      <c r="V156" s="192"/>
      <c r="AA156" s="195"/>
      <c r="AB156" s="195"/>
      <c r="AC156" s="195"/>
      <c r="AD156" s="196"/>
      <c r="AE156" s="196"/>
      <c r="AF156" s="197"/>
      <c r="AG156" s="197"/>
    </row>
    <row r="157" spans="2:33" ht="15.75" customHeight="1" x14ac:dyDescent="0.3">
      <c r="B157" s="59"/>
      <c r="C157" s="65"/>
      <c r="D157" s="180"/>
      <c r="E157" s="181"/>
      <c r="F157" s="198"/>
      <c r="G157" s="183"/>
      <c r="H157" s="198"/>
      <c r="I157" s="184"/>
      <c r="J157" s="185"/>
      <c r="K157" s="186"/>
      <c r="L157" s="187"/>
      <c r="M157" s="200"/>
      <c r="N157" s="185"/>
      <c r="O157" s="189"/>
      <c r="P157" s="190"/>
      <c r="Q157" s="189"/>
      <c r="R157" s="189"/>
      <c r="S157" s="191"/>
      <c r="T157" s="192"/>
      <c r="U157" s="192"/>
      <c r="V157" s="192"/>
      <c r="AA157" s="195"/>
      <c r="AB157" s="195"/>
      <c r="AC157" s="195"/>
      <c r="AD157" s="196"/>
      <c r="AE157" s="196"/>
      <c r="AF157" s="197"/>
      <c r="AG157" s="197"/>
    </row>
    <row r="158" spans="2:33" ht="15.75" customHeight="1" x14ac:dyDescent="0.3">
      <c r="B158" s="59"/>
      <c r="C158" s="65"/>
      <c r="D158" s="180"/>
      <c r="E158" s="181"/>
      <c r="F158" s="198"/>
      <c r="G158" s="183"/>
      <c r="H158" s="198"/>
      <c r="I158" s="184"/>
      <c r="J158" s="185"/>
      <c r="K158" s="186"/>
      <c r="L158" s="187"/>
      <c r="M158" s="200"/>
      <c r="N158" s="185"/>
      <c r="O158" s="189"/>
      <c r="P158" s="190"/>
      <c r="Q158" s="189"/>
      <c r="R158" s="189"/>
      <c r="S158" s="191"/>
      <c r="T158" s="192"/>
      <c r="U158" s="192"/>
      <c r="V158" s="192"/>
      <c r="AA158" s="195"/>
      <c r="AB158" s="195"/>
      <c r="AC158" s="195"/>
      <c r="AD158" s="196"/>
      <c r="AE158" s="196"/>
      <c r="AF158" s="197"/>
      <c r="AG158" s="197"/>
    </row>
    <row r="159" spans="2:33" ht="15.75" customHeight="1" x14ac:dyDescent="0.3">
      <c r="B159" s="59"/>
      <c r="C159" s="65"/>
      <c r="D159" s="180"/>
      <c r="E159" s="181"/>
      <c r="F159" s="198"/>
      <c r="G159" s="183"/>
      <c r="H159" s="198"/>
      <c r="I159" s="184"/>
      <c r="J159" s="185"/>
      <c r="K159" s="186"/>
      <c r="L159" s="187"/>
      <c r="M159" s="200"/>
      <c r="N159" s="185"/>
      <c r="O159" s="189"/>
      <c r="P159" s="190"/>
      <c r="Q159" s="189"/>
      <c r="R159" s="189"/>
      <c r="S159" s="191"/>
      <c r="T159" s="192"/>
      <c r="U159" s="192"/>
      <c r="V159" s="192"/>
      <c r="AA159" s="195"/>
      <c r="AB159" s="195"/>
      <c r="AC159" s="195"/>
      <c r="AD159" s="196"/>
      <c r="AE159" s="196"/>
      <c r="AF159" s="197"/>
      <c r="AG159" s="197"/>
    </row>
    <row r="160" spans="2:33" ht="15.75" customHeight="1" x14ac:dyDescent="0.3">
      <c r="B160" s="59"/>
      <c r="C160" s="65"/>
      <c r="D160" s="180"/>
      <c r="E160" s="181"/>
      <c r="F160" s="198"/>
      <c r="G160" s="183"/>
      <c r="H160" s="198"/>
      <c r="I160" s="184"/>
      <c r="J160" s="185"/>
      <c r="K160" s="186"/>
      <c r="L160" s="187"/>
      <c r="M160" s="200"/>
      <c r="N160" s="185"/>
      <c r="O160" s="189"/>
      <c r="P160" s="190"/>
      <c r="Q160" s="189"/>
      <c r="R160" s="189"/>
      <c r="S160" s="191"/>
      <c r="T160" s="192"/>
      <c r="U160" s="192"/>
      <c r="V160" s="192"/>
      <c r="AA160" s="195"/>
      <c r="AB160" s="195"/>
      <c r="AC160" s="195"/>
      <c r="AD160" s="196"/>
      <c r="AE160" s="196"/>
      <c r="AF160" s="197"/>
      <c r="AG160" s="197"/>
    </row>
    <row r="161" spans="2:33" ht="15.75" customHeight="1" x14ac:dyDescent="0.3">
      <c r="B161" s="59"/>
      <c r="C161" s="65"/>
      <c r="D161" s="180"/>
      <c r="E161" s="181"/>
      <c r="F161" s="198"/>
      <c r="G161" s="183"/>
      <c r="H161" s="198"/>
      <c r="I161" s="184"/>
      <c r="J161" s="185"/>
      <c r="K161" s="186"/>
      <c r="L161" s="187"/>
      <c r="M161" s="200"/>
      <c r="N161" s="185"/>
      <c r="O161" s="189"/>
      <c r="P161" s="190"/>
      <c r="Q161" s="189"/>
      <c r="R161" s="189"/>
      <c r="S161" s="191"/>
      <c r="T161" s="192"/>
      <c r="U161" s="192"/>
      <c r="V161" s="192"/>
      <c r="AA161" s="195"/>
      <c r="AB161" s="195"/>
      <c r="AC161" s="195"/>
      <c r="AD161" s="196"/>
      <c r="AE161" s="196"/>
      <c r="AF161" s="197"/>
      <c r="AG161" s="197"/>
    </row>
    <row r="162" spans="2:33" ht="15.75" customHeight="1" x14ac:dyDescent="0.3">
      <c r="B162" s="59"/>
      <c r="C162" s="65"/>
      <c r="D162" s="180"/>
      <c r="E162" s="181"/>
      <c r="F162" s="198"/>
      <c r="G162" s="183"/>
      <c r="H162" s="198"/>
      <c r="I162" s="184"/>
      <c r="J162" s="185"/>
      <c r="K162" s="186"/>
      <c r="L162" s="187"/>
      <c r="M162" s="200"/>
      <c r="N162" s="185"/>
      <c r="O162" s="189"/>
      <c r="P162" s="190"/>
      <c r="Q162" s="189"/>
      <c r="R162" s="189"/>
      <c r="S162" s="191"/>
      <c r="T162" s="192"/>
      <c r="U162" s="192"/>
      <c r="V162" s="192"/>
      <c r="AA162" s="195"/>
      <c r="AB162" s="195"/>
      <c r="AC162" s="195"/>
      <c r="AD162" s="196"/>
      <c r="AE162" s="196"/>
      <c r="AF162" s="197"/>
      <c r="AG162" s="197"/>
    </row>
    <row r="163" spans="2:33" ht="15.75" customHeight="1" x14ac:dyDescent="0.3">
      <c r="B163" s="59"/>
      <c r="C163" s="65"/>
      <c r="D163" s="180"/>
      <c r="E163" s="181"/>
      <c r="F163" s="198"/>
      <c r="G163" s="183"/>
      <c r="H163" s="198"/>
      <c r="I163" s="184"/>
      <c r="J163" s="185"/>
      <c r="K163" s="186"/>
      <c r="L163" s="187"/>
      <c r="M163" s="200"/>
      <c r="N163" s="185"/>
      <c r="O163" s="189"/>
      <c r="P163" s="190"/>
      <c r="Q163" s="189"/>
      <c r="R163" s="189"/>
      <c r="S163" s="191"/>
      <c r="T163" s="192"/>
      <c r="U163" s="192"/>
      <c r="V163" s="192"/>
      <c r="AA163" s="195"/>
      <c r="AB163" s="195"/>
      <c r="AC163" s="195"/>
      <c r="AD163" s="196"/>
      <c r="AE163" s="196"/>
      <c r="AF163" s="197"/>
      <c r="AG163" s="197"/>
    </row>
    <row r="164" spans="2:33" ht="15.75" customHeight="1" x14ac:dyDescent="0.3">
      <c r="B164" s="59"/>
      <c r="C164" s="65"/>
      <c r="D164" s="180"/>
      <c r="E164" s="181"/>
      <c r="F164" s="198"/>
      <c r="G164" s="183"/>
      <c r="H164" s="198"/>
      <c r="I164" s="184"/>
      <c r="J164" s="185"/>
      <c r="K164" s="186"/>
      <c r="L164" s="187"/>
      <c r="M164" s="200"/>
      <c r="N164" s="185"/>
      <c r="O164" s="189"/>
      <c r="P164" s="190"/>
      <c r="Q164" s="189"/>
      <c r="R164" s="189"/>
      <c r="S164" s="191"/>
      <c r="T164" s="192"/>
      <c r="U164" s="192"/>
      <c r="V164" s="192"/>
      <c r="AA164" s="195"/>
      <c r="AB164" s="195"/>
      <c r="AC164" s="195"/>
      <c r="AD164" s="196"/>
      <c r="AE164" s="196"/>
      <c r="AF164" s="197"/>
      <c r="AG164" s="197"/>
    </row>
    <row r="165" spans="2:33" ht="15.75" customHeight="1" x14ac:dyDescent="0.3">
      <c r="B165" s="59"/>
      <c r="C165" s="65"/>
      <c r="D165" s="180"/>
      <c r="E165" s="181"/>
      <c r="F165" s="198"/>
      <c r="G165" s="183"/>
      <c r="H165" s="198"/>
      <c r="I165" s="184"/>
      <c r="J165" s="185"/>
      <c r="K165" s="186"/>
      <c r="L165" s="187"/>
      <c r="M165" s="200"/>
      <c r="N165" s="185"/>
      <c r="O165" s="189"/>
      <c r="P165" s="190"/>
      <c r="Q165" s="189"/>
      <c r="R165" s="189"/>
      <c r="S165" s="191"/>
      <c r="T165" s="192"/>
      <c r="U165" s="192"/>
      <c r="V165" s="192"/>
      <c r="AA165" s="195"/>
      <c r="AB165" s="195"/>
      <c r="AC165" s="195"/>
      <c r="AD165" s="196"/>
      <c r="AE165" s="196"/>
      <c r="AF165" s="197"/>
      <c r="AG165" s="197"/>
    </row>
    <row r="166" spans="2:33" ht="15.75" customHeight="1" x14ac:dyDescent="0.3">
      <c r="B166" s="59"/>
      <c r="C166" s="65"/>
      <c r="D166" s="180"/>
      <c r="E166" s="181"/>
      <c r="F166" s="198"/>
      <c r="G166" s="183"/>
      <c r="H166" s="198"/>
      <c r="I166" s="184"/>
      <c r="J166" s="185"/>
      <c r="K166" s="186"/>
      <c r="L166" s="187"/>
      <c r="M166" s="200"/>
      <c r="N166" s="185"/>
      <c r="O166" s="189"/>
      <c r="P166" s="190"/>
      <c r="Q166" s="189"/>
      <c r="R166" s="189"/>
      <c r="S166" s="191"/>
      <c r="T166" s="192"/>
      <c r="U166" s="192"/>
      <c r="V166" s="192"/>
      <c r="AA166" s="195"/>
      <c r="AB166" s="195"/>
      <c r="AC166" s="195"/>
      <c r="AD166" s="196"/>
      <c r="AE166" s="196"/>
      <c r="AF166" s="197"/>
      <c r="AG166" s="197"/>
    </row>
    <row r="167" spans="2:33" ht="15.75" customHeight="1" x14ac:dyDescent="0.3">
      <c r="B167" s="59"/>
      <c r="C167" s="65"/>
      <c r="D167" s="180"/>
      <c r="E167" s="181"/>
      <c r="F167" s="198"/>
      <c r="G167" s="183"/>
      <c r="H167" s="198"/>
      <c r="I167" s="184"/>
      <c r="J167" s="185"/>
      <c r="K167" s="186"/>
      <c r="L167" s="187"/>
      <c r="M167" s="200"/>
      <c r="N167" s="185"/>
      <c r="O167" s="189"/>
      <c r="P167" s="190"/>
      <c r="Q167" s="189"/>
      <c r="R167" s="189"/>
      <c r="S167" s="191"/>
      <c r="T167" s="192"/>
      <c r="U167" s="192"/>
      <c r="V167" s="192"/>
      <c r="AA167" s="195"/>
      <c r="AB167" s="195"/>
      <c r="AC167" s="195"/>
      <c r="AD167" s="196"/>
      <c r="AE167" s="196"/>
      <c r="AF167" s="197"/>
      <c r="AG167" s="197"/>
    </row>
    <row r="168" spans="2:33" ht="15.75" customHeight="1" x14ac:dyDescent="0.3">
      <c r="B168" s="59"/>
      <c r="C168" s="65"/>
      <c r="D168" s="180"/>
      <c r="E168" s="181"/>
      <c r="F168" s="198"/>
      <c r="G168" s="183"/>
      <c r="H168" s="198"/>
      <c r="I168" s="184"/>
      <c r="J168" s="185"/>
      <c r="K168" s="186"/>
      <c r="L168" s="187"/>
      <c r="M168" s="200"/>
      <c r="N168" s="185"/>
      <c r="O168" s="189"/>
      <c r="P168" s="190"/>
      <c r="Q168" s="189"/>
      <c r="R168" s="189"/>
      <c r="S168" s="191"/>
      <c r="T168" s="192"/>
      <c r="U168" s="192"/>
      <c r="V168" s="192"/>
      <c r="AA168" s="195"/>
      <c r="AB168" s="195"/>
      <c r="AC168" s="195"/>
      <c r="AD168" s="196"/>
      <c r="AE168" s="196"/>
      <c r="AF168" s="197"/>
      <c r="AG168" s="197"/>
    </row>
    <row r="169" spans="2:33" ht="15.75" customHeight="1" x14ac:dyDescent="0.3">
      <c r="B169" s="59"/>
      <c r="C169" s="65"/>
      <c r="D169" s="180"/>
      <c r="E169" s="181"/>
      <c r="F169" s="198"/>
      <c r="G169" s="183"/>
      <c r="H169" s="198"/>
      <c r="I169" s="184"/>
      <c r="J169" s="185"/>
      <c r="K169" s="186"/>
      <c r="L169" s="187"/>
      <c r="M169" s="200"/>
      <c r="N169" s="185"/>
      <c r="O169" s="189"/>
      <c r="P169" s="190"/>
      <c r="Q169" s="189"/>
      <c r="R169" s="189"/>
      <c r="S169" s="191"/>
      <c r="T169" s="192"/>
      <c r="U169" s="192"/>
      <c r="V169" s="192"/>
      <c r="AA169" s="195"/>
      <c r="AB169" s="195"/>
      <c r="AC169" s="195"/>
      <c r="AD169" s="196"/>
      <c r="AE169" s="196"/>
      <c r="AF169" s="197"/>
      <c r="AG169" s="197"/>
    </row>
    <row r="170" spans="2:33" ht="15.75" customHeight="1" x14ac:dyDescent="0.3">
      <c r="B170" s="59"/>
      <c r="C170" s="65"/>
      <c r="D170" s="180"/>
      <c r="E170" s="181"/>
      <c r="F170" s="198"/>
      <c r="G170" s="183"/>
      <c r="H170" s="198"/>
      <c r="I170" s="184"/>
      <c r="J170" s="185"/>
      <c r="K170" s="186"/>
      <c r="L170" s="187"/>
      <c r="M170" s="200"/>
      <c r="N170" s="185"/>
      <c r="O170" s="189"/>
      <c r="P170" s="190"/>
      <c r="Q170" s="189"/>
      <c r="R170" s="189"/>
      <c r="S170" s="191"/>
      <c r="T170" s="192"/>
      <c r="U170" s="192"/>
      <c r="V170" s="192"/>
      <c r="AA170" s="195"/>
      <c r="AB170" s="195"/>
      <c r="AC170" s="195"/>
      <c r="AD170" s="196"/>
      <c r="AE170" s="196"/>
      <c r="AF170" s="197"/>
      <c r="AG170" s="197"/>
    </row>
    <row r="171" spans="2:33" ht="15.75" customHeight="1" x14ac:dyDescent="0.3">
      <c r="B171" s="59"/>
      <c r="C171" s="65"/>
      <c r="D171" s="180"/>
      <c r="E171" s="181"/>
      <c r="F171" s="198"/>
      <c r="G171" s="183"/>
      <c r="H171" s="198"/>
      <c r="I171" s="184"/>
      <c r="J171" s="185"/>
      <c r="K171" s="186"/>
      <c r="L171" s="187"/>
      <c r="M171" s="200"/>
      <c r="N171" s="185"/>
      <c r="O171" s="189"/>
      <c r="P171" s="190"/>
      <c r="Q171" s="189"/>
      <c r="R171" s="189"/>
      <c r="S171" s="191"/>
      <c r="T171" s="192"/>
      <c r="U171" s="192"/>
      <c r="V171" s="192"/>
      <c r="AA171" s="195"/>
      <c r="AB171" s="195"/>
      <c r="AC171" s="195"/>
      <c r="AD171" s="196"/>
      <c r="AE171" s="196"/>
      <c r="AF171" s="197"/>
      <c r="AG171" s="197"/>
    </row>
    <row r="172" spans="2:33" ht="15.75" customHeight="1" x14ac:dyDescent="0.3">
      <c r="B172" s="59"/>
      <c r="C172" s="65"/>
      <c r="D172" s="180"/>
      <c r="E172" s="181"/>
      <c r="F172" s="198"/>
      <c r="G172" s="183"/>
      <c r="H172" s="198"/>
      <c r="I172" s="184"/>
      <c r="J172" s="185"/>
      <c r="K172" s="186"/>
      <c r="L172" s="187"/>
      <c r="M172" s="200"/>
      <c r="N172" s="185"/>
      <c r="O172" s="189"/>
      <c r="P172" s="190"/>
      <c r="Q172" s="189"/>
      <c r="R172" s="189"/>
      <c r="S172" s="191"/>
      <c r="T172" s="192"/>
      <c r="U172" s="192"/>
      <c r="V172" s="192"/>
      <c r="AA172" s="195"/>
      <c r="AB172" s="195"/>
      <c r="AC172" s="195"/>
      <c r="AD172" s="196"/>
      <c r="AE172" s="196"/>
      <c r="AF172" s="197"/>
      <c r="AG172" s="197"/>
    </row>
    <row r="173" spans="2:33" ht="15.75" customHeight="1" x14ac:dyDescent="0.3">
      <c r="B173" s="59"/>
      <c r="C173" s="65"/>
      <c r="D173" s="180"/>
      <c r="E173" s="181"/>
      <c r="F173" s="198"/>
      <c r="G173" s="183"/>
      <c r="H173" s="198"/>
      <c r="I173" s="184"/>
      <c r="J173" s="185"/>
      <c r="K173" s="186"/>
      <c r="L173" s="187"/>
      <c r="M173" s="200"/>
      <c r="N173" s="185"/>
      <c r="O173" s="189"/>
      <c r="P173" s="190"/>
      <c r="Q173" s="189"/>
      <c r="R173" s="189"/>
      <c r="S173" s="191"/>
      <c r="T173" s="192"/>
      <c r="U173" s="192"/>
      <c r="V173" s="192"/>
      <c r="AA173" s="195"/>
      <c r="AB173" s="195"/>
      <c r="AC173" s="195"/>
      <c r="AD173" s="196"/>
      <c r="AE173" s="196"/>
      <c r="AF173" s="197"/>
      <c r="AG173" s="197"/>
    </row>
    <row r="174" spans="2:33" ht="15.75" customHeight="1" x14ac:dyDescent="0.3">
      <c r="B174" s="59"/>
      <c r="C174" s="65"/>
      <c r="D174" s="180"/>
      <c r="E174" s="181"/>
      <c r="F174" s="198"/>
      <c r="G174" s="183"/>
      <c r="H174" s="198"/>
      <c r="I174" s="184"/>
      <c r="J174" s="185"/>
      <c r="K174" s="186"/>
      <c r="L174" s="187"/>
      <c r="M174" s="200"/>
      <c r="N174" s="185"/>
      <c r="O174" s="189"/>
      <c r="P174" s="190"/>
      <c r="Q174" s="189"/>
      <c r="R174" s="189"/>
      <c r="S174" s="191"/>
      <c r="T174" s="192"/>
      <c r="U174" s="192"/>
      <c r="V174" s="192"/>
      <c r="AA174" s="195"/>
      <c r="AB174" s="195"/>
      <c r="AC174" s="195"/>
      <c r="AD174" s="196"/>
      <c r="AE174" s="196"/>
      <c r="AF174" s="197"/>
      <c r="AG174" s="197"/>
    </row>
    <row r="175" spans="2:33" ht="15.75" customHeight="1" x14ac:dyDescent="0.3">
      <c r="B175" s="59"/>
      <c r="C175" s="65"/>
      <c r="D175" s="180"/>
      <c r="E175" s="181"/>
      <c r="F175" s="198"/>
      <c r="G175" s="183"/>
      <c r="H175" s="198"/>
      <c r="I175" s="184"/>
      <c r="J175" s="185"/>
      <c r="K175" s="186"/>
      <c r="L175" s="187"/>
      <c r="M175" s="200"/>
      <c r="N175" s="185"/>
      <c r="O175" s="189"/>
      <c r="P175" s="190"/>
      <c r="Q175" s="189"/>
      <c r="R175" s="189"/>
      <c r="S175" s="191"/>
      <c r="T175" s="192"/>
      <c r="U175" s="192"/>
      <c r="V175" s="192"/>
      <c r="AA175" s="195"/>
      <c r="AB175" s="195"/>
      <c r="AC175" s="195"/>
      <c r="AD175" s="196"/>
      <c r="AE175" s="196"/>
      <c r="AF175" s="197"/>
      <c r="AG175" s="197"/>
    </row>
    <row r="176" spans="2:33" ht="15.75" customHeight="1" x14ac:dyDescent="0.3">
      <c r="B176" s="59"/>
      <c r="C176" s="65"/>
      <c r="D176" s="180"/>
      <c r="E176" s="181"/>
      <c r="F176" s="198"/>
      <c r="G176" s="183"/>
      <c r="H176" s="198"/>
      <c r="I176" s="184"/>
      <c r="J176" s="185"/>
      <c r="K176" s="186"/>
      <c r="L176" s="187"/>
      <c r="M176" s="200"/>
      <c r="N176" s="185"/>
      <c r="O176" s="189"/>
      <c r="P176" s="190"/>
      <c r="Q176" s="189"/>
      <c r="R176" s="189"/>
      <c r="S176" s="191"/>
      <c r="T176" s="192"/>
      <c r="U176" s="192"/>
      <c r="V176" s="192"/>
      <c r="AA176" s="195"/>
      <c r="AB176" s="195"/>
      <c r="AC176" s="195"/>
      <c r="AD176" s="196"/>
      <c r="AE176" s="196"/>
      <c r="AF176" s="197"/>
      <c r="AG176" s="197"/>
    </row>
    <row r="177" spans="2:33" ht="15.75" customHeight="1" x14ac:dyDescent="0.3">
      <c r="B177" s="59"/>
      <c r="C177" s="65"/>
      <c r="D177" s="180"/>
      <c r="E177" s="181"/>
      <c r="F177" s="198"/>
      <c r="G177" s="183"/>
      <c r="H177" s="198"/>
      <c r="I177" s="184"/>
      <c r="J177" s="185"/>
      <c r="K177" s="186"/>
      <c r="L177" s="187"/>
      <c r="M177" s="200"/>
      <c r="N177" s="185"/>
      <c r="O177" s="189"/>
      <c r="P177" s="190"/>
      <c r="Q177" s="189"/>
      <c r="R177" s="189"/>
      <c r="S177" s="191"/>
      <c r="T177" s="192"/>
      <c r="U177" s="192"/>
      <c r="V177" s="192"/>
      <c r="AA177" s="195"/>
      <c r="AB177" s="195"/>
      <c r="AC177" s="195"/>
      <c r="AD177" s="196"/>
      <c r="AE177" s="196"/>
      <c r="AF177" s="197"/>
      <c r="AG177" s="197"/>
    </row>
    <row r="178" spans="2:33" ht="15.75" customHeight="1" x14ac:dyDescent="0.3">
      <c r="B178" s="59"/>
      <c r="C178" s="65"/>
      <c r="D178" s="180"/>
      <c r="E178" s="181"/>
      <c r="F178" s="198"/>
      <c r="G178" s="183"/>
      <c r="H178" s="198"/>
      <c r="I178" s="184"/>
      <c r="J178" s="185"/>
      <c r="K178" s="186"/>
      <c r="L178" s="187"/>
      <c r="M178" s="200"/>
      <c r="N178" s="185"/>
      <c r="O178" s="189"/>
      <c r="P178" s="190"/>
      <c r="Q178" s="189"/>
      <c r="R178" s="189"/>
      <c r="S178" s="191"/>
      <c r="T178" s="192"/>
      <c r="U178" s="192"/>
      <c r="V178" s="192"/>
      <c r="AA178" s="195"/>
      <c r="AB178" s="195"/>
      <c r="AC178" s="195"/>
      <c r="AD178" s="196"/>
      <c r="AE178" s="196"/>
      <c r="AF178" s="197"/>
      <c r="AG178" s="197"/>
    </row>
    <row r="179" spans="2:33" ht="15.75" customHeight="1" x14ac:dyDescent="0.3">
      <c r="B179" s="59"/>
      <c r="C179" s="65"/>
      <c r="D179" s="180"/>
      <c r="E179" s="181"/>
      <c r="F179" s="198"/>
      <c r="G179" s="183"/>
      <c r="H179" s="198"/>
      <c r="I179" s="184"/>
      <c r="J179" s="185"/>
      <c r="K179" s="186"/>
      <c r="L179" s="187"/>
      <c r="M179" s="200"/>
      <c r="N179" s="185"/>
      <c r="O179" s="189"/>
      <c r="P179" s="190"/>
      <c r="Q179" s="189"/>
      <c r="R179" s="189"/>
      <c r="S179" s="191"/>
      <c r="T179" s="192"/>
      <c r="U179" s="192"/>
      <c r="V179" s="192"/>
      <c r="AA179" s="195"/>
      <c r="AB179" s="195"/>
      <c r="AC179" s="195"/>
      <c r="AD179" s="196"/>
      <c r="AE179" s="196"/>
      <c r="AF179" s="197"/>
      <c r="AG179" s="197"/>
    </row>
    <row r="180" spans="2:33" ht="15.75" customHeight="1" x14ac:dyDescent="0.3">
      <c r="B180" s="59"/>
      <c r="C180" s="65"/>
      <c r="D180" s="180"/>
      <c r="E180" s="181"/>
      <c r="F180" s="198"/>
      <c r="G180" s="183"/>
      <c r="H180" s="198"/>
      <c r="I180" s="184"/>
      <c r="J180" s="185"/>
      <c r="K180" s="186"/>
      <c r="L180" s="187"/>
      <c r="M180" s="200"/>
      <c r="N180" s="185"/>
      <c r="O180" s="189"/>
      <c r="P180" s="190"/>
      <c r="Q180" s="189"/>
      <c r="R180" s="189"/>
      <c r="S180" s="191"/>
      <c r="T180" s="192"/>
      <c r="U180" s="192"/>
      <c r="V180" s="192"/>
      <c r="AA180" s="195"/>
      <c r="AB180" s="195"/>
      <c r="AC180" s="195"/>
      <c r="AD180" s="196"/>
      <c r="AE180" s="196"/>
      <c r="AF180" s="197"/>
      <c r="AG180" s="197"/>
    </row>
    <row r="181" spans="2:33" ht="15.75" customHeight="1" x14ac:dyDescent="0.3">
      <c r="B181" s="59"/>
      <c r="C181" s="65"/>
      <c r="D181" s="180"/>
      <c r="E181" s="181"/>
      <c r="F181" s="198"/>
      <c r="G181" s="183"/>
      <c r="H181" s="198"/>
      <c r="I181" s="184"/>
      <c r="J181" s="185"/>
      <c r="K181" s="186"/>
      <c r="L181" s="187"/>
      <c r="M181" s="200"/>
      <c r="N181" s="185"/>
      <c r="O181" s="189"/>
      <c r="P181" s="190"/>
      <c r="Q181" s="189"/>
      <c r="R181" s="189"/>
      <c r="S181" s="191"/>
      <c r="T181" s="192"/>
      <c r="U181" s="192"/>
      <c r="V181" s="192"/>
      <c r="AA181" s="195"/>
      <c r="AB181" s="195"/>
      <c r="AC181" s="195"/>
      <c r="AD181" s="196"/>
      <c r="AE181" s="196"/>
      <c r="AF181" s="197"/>
      <c r="AG181" s="197"/>
    </row>
    <row r="182" spans="2:33" ht="15.75" customHeight="1" x14ac:dyDescent="0.3">
      <c r="B182" s="59"/>
      <c r="C182" s="65"/>
      <c r="D182" s="180"/>
      <c r="E182" s="181"/>
      <c r="F182" s="198"/>
      <c r="G182" s="183"/>
      <c r="H182" s="198"/>
      <c r="I182" s="184"/>
      <c r="J182" s="185"/>
      <c r="K182" s="186"/>
      <c r="L182" s="187"/>
      <c r="M182" s="200"/>
      <c r="N182" s="185"/>
      <c r="O182" s="189"/>
      <c r="P182" s="190"/>
      <c r="Q182" s="189"/>
      <c r="R182" s="189"/>
      <c r="S182" s="191"/>
      <c r="T182" s="192"/>
      <c r="U182" s="192"/>
      <c r="V182" s="192"/>
      <c r="AA182" s="195"/>
      <c r="AB182" s="195"/>
      <c r="AC182" s="195"/>
      <c r="AD182" s="196"/>
      <c r="AE182" s="196"/>
      <c r="AF182" s="197"/>
      <c r="AG182" s="197"/>
    </row>
    <row r="183" spans="2:33" ht="15.75" customHeight="1" x14ac:dyDescent="0.3">
      <c r="B183" s="59"/>
      <c r="C183" s="65"/>
      <c r="D183" s="180"/>
      <c r="E183" s="181"/>
      <c r="F183" s="198"/>
      <c r="G183" s="183"/>
      <c r="H183" s="198"/>
      <c r="I183" s="184"/>
      <c r="J183" s="185"/>
      <c r="K183" s="186"/>
      <c r="L183" s="187"/>
      <c r="M183" s="200"/>
      <c r="N183" s="185"/>
      <c r="O183" s="189"/>
      <c r="P183" s="190"/>
      <c r="Q183" s="189"/>
      <c r="R183" s="189"/>
      <c r="S183" s="191"/>
      <c r="T183" s="192"/>
      <c r="U183" s="192"/>
      <c r="V183" s="192"/>
      <c r="AA183" s="195"/>
      <c r="AB183" s="195"/>
      <c r="AC183" s="195"/>
      <c r="AD183" s="196"/>
      <c r="AE183" s="196"/>
      <c r="AF183" s="197"/>
      <c r="AG183" s="197"/>
    </row>
    <row r="184" spans="2:33" ht="15.75" customHeight="1" x14ac:dyDescent="0.3">
      <c r="B184" s="59"/>
      <c r="C184" s="65"/>
      <c r="D184" s="180"/>
      <c r="E184" s="181"/>
      <c r="F184" s="198"/>
      <c r="G184" s="183"/>
      <c r="H184" s="198"/>
      <c r="I184" s="184"/>
      <c r="J184" s="185"/>
      <c r="K184" s="186"/>
      <c r="L184" s="187"/>
      <c r="M184" s="200"/>
      <c r="N184" s="185"/>
      <c r="O184" s="189"/>
      <c r="P184" s="190"/>
      <c r="Q184" s="189"/>
      <c r="R184" s="189"/>
      <c r="S184" s="191"/>
      <c r="T184" s="192"/>
      <c r="U184" s="192"/>
      <c r="V184" s="192"/>
      <c r="AA184" s="195"/>
      <c r="AB184" s="195"/>
      <c r="AC184" s="195"/>
      <c r="AD184" s="196"/>
      <c r="AE184" s="196"/>
      <c r="AF184" s="197"/>
      <c r="AG184" s="197"/>
    </row>
    <row r="185" spans="2:33" ht="15.75" customHeight="1" x14ac:dyDescent="0.3">
      <c r="B185" s="59"/>
      <c r="C185" s="65"/>
      <c r="D185" s="180"/>
      <c r="E185" s="181"/>
      <c r="F185" s="198"/>
      <c r="G185" s="183"/>
      <c r="H185" s="198"/>
      <c r="I185" s="184"/>
      <c r="J185" s="185"/>
      <c r="K185" s="186"/>
      <c r="L185" s="187"/>
      <c r="M185" s="200"/>
      <c r="N185" s="185"/>
      <c r="O185" s="189"/>
      <c r="P185" s="190"/>
      <c r="Q185" s="189"/>
      <c r="R185" s="189"/>
      <c r="S185" s="191"/>
      <c r="T185" s="192"/>
      <c r="U185" s="192"/>
      <c r="V185" s="192"/>
      <c r="AA185" s="195"/>
      <c r="AB185" s="195"/>
      <c r="AC185" s="195"/>
      <c r="AD185" s="196"/>
      <c r="AE185" s="196"/>
      <c r="AF185" s="197"/>
      <c r="AG185" s="197"/>
    </row>
    <row r="186" spans="2:33" ht="15.75" customHeight="1" x14ac:dyDescent="0.3">
      <c r="B186" s="59"/>
      <c r="C186" s="65"/>
      <c r="D186" s="180"/>
      <c r="E186" s="181"/>
      <c r="F186" s="198"/>
      <c r="G186" s="183"/>
      <c r="H186" s="198"/>
      <c r="I186" s="184"/>
      <c r="J186" s="185"/>
      <c r="K186" s="186"/>
      <c r="L186" s="187"/>
      <c r="M186" s="200"/>
      <c r="N186" s="185"/>
      <c r="O186" s="189"/>
      <c r="P186" s="190"/>
      <c r="Q186" s="189"/>
      <c r="R186" s="189"/>
      <c r="S186" s="191"/>
      <c r="T186" s="192"/>
      <c r="U186" s="192"/>
      <c r="V186" s="192"/>
      <c r="AA186" s="195"/>
      <c r="AB186" s="195"/>
      <c r="AC186" s="195"/>
      <c r="AD186" s="196"/>
      <c r="AE186" s="196"/>
      <c r="AF186" s="197"/>
      <c r="AG186" s="197"/>
    </row>
    <row r="187" spans="2:33" ht="15.75" customHeight="1" x14ac:dyDescent="0.3">
      <c r="B187" s="59"/>
      <c r="C187" s="65"/>
      <c r="D187" s="180"/>
      <c r="E187" s="181"/>
      <c r="F187" s="198"/>
      <c r="G187" s="183"/>
      <c r="H187" s="198"/>
      <c r="I187" s="184"/>
      <c r="J187" s="185"/>
      <c r="K187" s="186"/>
      <c r="L187" s="187"/>
      <c r="M187" s="200"/>
      <c r="N187" s="185"/>
      <c r="O187" s="189"/>
      <c r="P187" s="190"/>
      <c r="Q187" s="189"/>
      <c r="R187" s="189"/>
      <c r="S187" s="191"/>
      <c r="T187" s="192"/>
      <c r="U187" s="192"/>
      <c r="V187" s="192"/>
      <c r="AA187" s="195"/>
      <c r="AB187" s="195"/>
      <c r="AC187" s="195"/>
      <c r="AD187" s="196"/>
      <c r="AE187" s="196"/>
      <c r="AF187" s="197"/>
      <c r="AG187" s="197"/>
    </row>
    <row r="188" spans="2:33" ht="15.75" customHeight="1" x14ac:dyDescent="0.3">
      <c r="B188" s="59"/>
      <c r="C188" s="65"/>
      <c r="D188" s="180"/>
      <c r="E188" s="181"/>
      <c r="F188" s="198"/>
      <c r="G188" s="183"/>
      <c r="H188" s="198"/>
      <c r="I188" s="184"/>
      <c r="J188" s="185"/>
      <c r="K188" s="186"/>
      <c r="L188" s="187"/>
      <c r="M188" s="200"/>
      <c r="N188" s="185"/>
      <c r="O188" s="189"/>
      <c r="P188" s="190"/>
      <c r="Q188" s="189"/>
      <c r="R188" s="189"/>
      <c r="S188" s="191"/>
      <c r="T188" s="192"/>
      <c r="U188" s="192"/>
      <c r="V188" s="192"/>
      <c r="AA188" s="195"/>
      <c r="AB188" s="195"/>
      <c r="AC188" s="195"/>
      <c r="AD188" s="196"/>
      <c r="AE188" s="196"/>
      <c r="AF188" s="197"/>
      <c r="AG188" s="197"/>
    </row>
    <row r="189" spans="2:33" ht="15.75" customHeight="1" x14ac:dyDescent="0.3">
      <c r="B189" s="59"/>
      <c r="C189" s="65"/>
      <c r="D189" s="180"/>
      <c r="E189" s="181"/>
      <c r="F189" s="198"/>
      <c r="G189" s="183"/>
      <c r="H189" s="198"/>
      <c r="I189" s="184"/>
      <c r="J189" s="185"/>
      <c r="K189" s="186"/>
      <c r="L189" s="187"/>
      <c r="M189" s="200"/>
      <c r="N189" s="185"/>
      <c r="O189" s="189"/>
      <c r="P189" s="190"/>
      <c r="Q189" s="189"/>
      <c r="R189" s="189"/>
      <c r="S189" s="191"/>
      <c r="T189" s="192"/>
      <c r="U189" s="192"/>
      <c r="V189" s="192"/>
      <c r="AA189" s="195"/>
      <c r="AB189" s="195"/>
      <c r="AC189" s="195"/>
      <c r="AD189" s="196"/>
      <c r="AE189" s="196"/>
      <c r="AF189" s="197"/>
      <c r="AG189" s="197"/>
    </row>
    <row r="190" spans="2:33" ht="15.75" customHeight="1" x14ac:dyDescent="0.3">
      <c r="B190" s="59"/>
      <c r="C190" s="65"/>
      <c r="D190" s="180"/>
      <c r="E190" s="181"/>
      <c r="F190" s="198"/>
      <c r="G190" s="183"/>
      <c r="H190" s="198"/>
      <c r="I190" s="184"/>
      <c r="J190" s="185"/>
      <c r="K190" s="186"/>
      <c r="L190" s="187"/>
      <c r="M190" s="200"/>
      <c r="N190" s="185"/>
      <c r="O190" s="189"/>
      <c r="P190" s="190"/>
      <c r="Q190" s="189"/>
      <c r="R190" s="189"/>
      <c r="S190" s="191"/>
      <c r="T190" s="192"/>
      <c r="U190" s="192"/>
      <c r="V190" s="192"/>
      <c r="AA190" s="195"/>
      <c r="AB190" s="195"/>
      <c r="AC190" s="195"/>
      <c r="AD190" s="196"/>
      <c r="AE190" s="196"/>
      <c r="AF190" s="197"/>
      <c r="AG190" s="197"/>
    </row>
    <row r="191" spans="2:33" ht="15.75" customHeight="1" x14ac:dyDescent="0.3">
      <c r="B191" s="59"/>
      <c r="C191" s="65"/>
      <c r="D191" s="180"/>
      <c r="E191" s="181"/>
      <c r="F191" s="198"/>
      <c r="G191" s="183"/>
      <c r="H191" s="198"/>
      <c r="I191" s="184"/>
      <c r="J191" s="185"/>
      <c r="K191" s="186"/>
      <c r="L191" s="187"/>
      <c r="M191" s="200"/>
      <c r="N191" s="185"/>
      <c r="O191" s="189"/>
      <c r="P191" s="190"/>
      <c r="Q191" s="189"/>
      <c r="R191" s="189"/>
      <c r="S191" s="191"/>
      <c r="T191" s="192"/>
      <c r="U191" s="192"/>
      <c r="V191" s="192"/>
      <c r="AA191" s="195"/>
      <c r="AB191" s="195"/>
      <c r="AC191" s="195"/>
      <c r="AD191" s="196"/>
      <c r="AE191" s="196"/>
      <c r="AF191" s="197"/>
      <c r="AG191" s="197"/>
    </row>
    <row r="192" spans="2:33" ht="15.75" customHeight="1" x14ac:dyDescent="0.3">
      <c r="B192" s="59"/>
      <c r="C192" s="65"/>
      <c r="D192" s="180"/>
      <c r="E192" s="181"/>
      <c r="F192" s="198"/>
      <c r="G192" s="183"/>
      <c r="H192" s="198"/>
      <c r="I192" s="184"/>
      <c r="J192" s="185"/>
      <c r="K192" s="186"/>
      <c r="L192" s="187"/>
      <c r="M192" s="200"/>
      <c r="N192" s="185"/>
      <c r="O192" s="189"/>
      <c r="P192" s="190"/>
      <c r="Q192" s="189"/>
      <c r="R192" s="189"/>
      <c r="S192" s="191"/>
      <c r="T192" s="192"/>
      <c r="U192" s="192"/>
      <c r="V192" s="192"/>
      <c r="AA192" s="195"/>
      <c r="AB192" s="195"/>
      <c r="AC192" s="195"/>
      <c r="AD192" s="196"/>
      <c r="AE192" s="196"/>
      <c r="AF192" s="197"/>
      <c r="AG192" s="197"/>
    </row>
    <row r="193" spans="2:33" ht="15.75" customHeight="1" x14ac:dyDescent="0.3">
      <c r="B193" s="59"/>
      <c r="C193" s="65"/>
      <c r="D193" s="180"/>
      <c r="E193" s="181"/>
      <c r="F193" s="198"/>
      <c r="G193" s="183"/>
      <c r="H193" s="198"/>
      <c r="I193" s="184"/>
      <c r="J193" s="185"/>
      <c r="K193" s="186"/>
      <c r="L193" s="187"/>
      <c r="M193" s="200"/>
      <c r="N193" s="185"/>
      <c r="O193" s="189"/>
      <c r="P193" s="190"/>
      <c r="Q193" s="189"/>
      <c r="R193" s="189"/>
      <c r="S193" s="191"/>
      <c r="T193" s="192"/>
      <c r="U193" s="192"/>
      <c r="V193" s="192"/>
      <c r="AA193" s="195"/>
      <c r="AB193" s="195"/>
      <c r="AC193" s="195"/>
      <c r="AD193" s="196"/>
      <c r="AE193" s="196"/>
      <c r="AF193" s="197"/>
      <c r="AG193" s="197"/>
    </row>
    <row r="194" spans="2:33" ht="15.75" customHeight="1" x14ac:dyDescent="0.3">
      <c r="B194" s="59"/>
      <c r="C194" s="65"/>
      <c r="D194" s="180"/>
      <c r="E194" s="181"/>
      <c r="F194" s="198"/>
      <c r="G194" s="183"/>
      <c r="H194" s="198"/>
      <c r="I194" s="184"/>
      <c r="J194" s="185"/>
      <c r="K194" s="186"/>
      <c r="L194" s="187"/>
      <c r="M194" s="200"/>
      <c r="N194" s="185"/>
      <c r="O194" s="189"/>
      <c r="P194" s="190"/>
      <c r="Q194" s="189"/>
      <c r="R194" s="189"/>
      <c r="S194" s="191"/>
      <c r="T194" s="192"/>
      <c r="U194" s="192"/>
      <c r="V194" s="192"/>
      <c r="AA194" s="195"/>
      <c r="AB194" s="195"/>
      <c r="AC194" s="195"/>
      <c r="AD194" s="196"/>
      <c r="AE194" s="196"/>
      <c r="AF194" s="197"/>
      <c r="AG194" s="197"/>
    </row>
    <row r="195" spans="2:33" ht="15.75" customHeight="1" x14ac:dyDescent="0.3">
      <c r="B195" s="59"/>
      <c r="C195" s="65"/>
      <c r="D195" s="180"/>
      <c r="E195" s="181"/>
      <c r="F195" s="198"/>
      <c r="G195" s="183"/>
      <c r="H195" s="198"/>
      <c r="I195" s="184"/>
      <c r="J195" s="185"/>
      <c r="K195" s="186"/>
      <c r="L195" s="187"/>
      <c r="M195" s="200"/>
      <c r="N195" s="185"/>
      <c r="O195" s="189"/>
      <c r="P195" s="190"/>
      <c r="Q195" s="189"/>
      <c r="R195" s="189"/>
      <c r="S195" s="191"/>
      <c r="T195" s="192"/>
      <c r="U195" s="192"/>
      <c r="V195" s="192"/>
      <c r="AA195" s="195"/>
      <c r="AB195" s="195"/>
      <c r="AC195" s="195"/>
      <c r="AD195" s="196"/>
      <c r="AE195" s="196"/>
      <c r="AF195" s="197"/>
      <c r="AG195" s="197"/>
    </row>
    <row r="196" spans="2:33" ht="15.75" customHeight="1" x14ac:dyDescent="0.3">
      <c r="B196" s="59"/>
      <c r="C196" s="65"/>
      <c r="D196" s="180"/>
      <c r="E196" s="181"/>
      <c r="F196" s="198"/>
      <c r="G196" s="183"/>
      <c r="H196" s="198"/>
      <c r="I196" s="184"/>
      <c r="J196" s="185"/>
      <c r="K196" s="186"/>
      <c r="L196" s="187"/>
      <c r="M196" s="200"/>
      <c r="N196" s="185"/>
      <c r="O196" s="189"/>
      <c r="P196" s="190"/>
      <c r="Q196" s="189"/>
      <c r="R196" s="189"/>
      <c r="S196" s="191"/>
      <c r="T196" s="192"/>
      <c r="U196" s="192"/>
      <c r="V196" s="192"/>
      <c r="AA196" s="195"/>
      <c r="AB196" s="195"/>
      <c r="AC196" s="195"/>
      <c r="AD196" s="196"/>
      <c r="AE196" s="196"/>
      <c r="AF196" s="197"/>
      <c r="AG196" s="197"/>
    </row>
    <row r="197" spans="2:33" ht="15.75" customHeight="1" x14ac:dyDescent="0.3">
      <c r="B197" s="59"/>
      <c r="C197" s="65"/>
      <c r="D197" s="180"/>
      <c r="E197" s="181"/>
      <c r="F197" s="198"/>
      <c r="G197" s="183"/>
      <c r="H197" s="198"/>
      <c r="I197" s="184"/>
      <c r="J197" s="185"/>
      <c r="K197" s="186"/>
      <c r="L197" s="187"/>
      <c r="M197" s="200"/>
      <c r="N197" s="185"/>
      <c r="O197" s="189"/>
      <c r="P197" s="190"/>
      <c r="Q197" s="189"/>
      <c r="R197" s="189"/>
      <c r="S197" s="191"/>
      <c r="T197" s="192"/>
      <c r="U197" s="192"/>
      <c r="V197" s="192"/>
      <c r="AA197" s="195"/>
      <c r="AB197" s="195"/>
      <c r="AC197" s="195"/>
      <c r="AD197" s="196"/>
      <c r="AE197" s="196"/>
      <c r="AF197" s="197"/>
      <c r="AG197" s="197"/>
    </row>
    <row r="198" spans="2:33" ht="15.75" customHeight="1" x14ac:dyDescent="0.3">
      <c r="B198" s="59"/>
      <c r="C198" s="65"/>
      <c r="D198" s="180"/>
      <c r="E198" s="181"/>
      <c r="F198" s="198"/>
      <c r="G198" s="183"/>
      <c r="H198" s="198"/>
      <c r="I198" s="184"/>
      <c r="J198" s="185"/>
      <c r="K198" s="186"/>
      <c r="L198" s="187"/>
      <c r="M198" s="200"/>
      <c r="N198" s="185"/>
      <c r="O198" s="189"/>
      <c r="P198" s="190"/>
      <c r="Q198" s="189"/>
      <c r="R198" s="189"/>
      <c r="S198" s="191"/>
      <c r="T198" s="192"/>
      <c r="U198" s="192"/>
      <c r="V198" s="192"/>
      <c r="AA198" s="195"/>
      <c r="AB198" s="195"/>
      <c r="AC198" s="195"/>
      <c r="AD198" s="196"/>
      <c r="AE198" s="196"/>
      <c r="AF198" s="197"/>
      <c r="AG198" s="197"/>
    </row>
    <row r="199" spans="2:33" ht="15.75" customHeight="1" x14ac:dyDescent="0.3">
      <c r="B199" s="59"/>
      <c r="C199" s="65"/>
      <c r="D199" s="180"/>
      <c r="E199" s="181"/>
      <c r="F199" s="198"/>
      <c r="G199" s="183"/>
      <c r="H199" s="198"/>
      <c r="I199" s="184"/>
      <c r="J199" s="185"/>
      <c r="K199" s="186"/>
      <c r="L199" s="187"/>
      <c r="M199" s="200"/>
      <c r="N199" s="185"/>
      <c r="O199" s="189"/>
      <c r="P199" s="190"/>
      <c r="Q199" s="189"/>
      <c r="R199" s="189"/>
      <c r="S199" s="191"/>
      <c r="T199" s="192"/>
      <c r="U199" s="192"/>
      <c r="V199" s="192"/>
      <c r="AA199" s="195"/>
      <c r="AB199" s="195"/>
      <c r="AC199" s="195"/>
      <c r="AD199" s="196"/>
      <c r="AE199" s="196"/>
      <c r="AF199" s="197"/>
      <c r="AG199" s="197"/>
    </row>
    <row r="200" spans="2:33" ht="15.75" customHeight="1" x14ac:dyDescent="0.3">
      <c r="B200" s="59"/>
      <c r="C200" s="65"/>
      <c r="D200" s="180"/>
      <c r="E200" s="181"/>
      <c r="F200" s="198"/>
      <c r="G200" s="183"/>
      <c r="H200" s="198"/>
      <c r="I200" s="184"/>
      <c r="J200" s="185"/>
      <c r="K200" s="186"/>
      <c r="L200" s="187"/>
      <c r="M200" s="200"/>
      <c r="N200" s="185"/>
      <c r="O200" s="189"/>
      <c r="P200" s="190"/>
      <c r="Q200" s="189"/>
      <c r="R200" s="189"/>
      <c r="S200" s="191"/>
      <c r="T200" s="192"/>
      <c r="U200" s="192"/>
      <c r="V200" s="192"/>
      <c r="AA200" s="195"/>
      <c r="AB200" s="195"/>
      <c r="AC200" s="195"/>
      <c r="AD200" s="196"/>
      <c r="AE200" s="196"/>
      <c r="AF200" s="197"/>
      <c r="AG200" s="197"/>
    </row>
    <row r="201" spans="2:33" ht="15.75" customHeight="1" x14ac:dyDescent="0.3">
      <c r="B201" s="59"/>
      <c r="C201" s="65"/>
      <c r="D201" s="180"/>
      <c r="E201" s="181"/>
      <c r="F201" s="198"/>
      <c r="G201" s="183"/>
      <c r="H201" s="198"/>
      <c r="I201" s="184"/>
      <c r="J201" s="185"/>
      <c r="K201" s="186"/>
      <c r="L201" s="187"/>
      <c r="M201" s="200"/>
      <c r="N201" s="185"/>
      <c r="O201" s="189"/>
      <c r="P201" s="190"/>
      <c r="Q201" s="189"/>
      <c r="R201" s="189"/>
      <c r="S201" s="191"/>
      <c r="T201" s="192"/>
      <c r="U201" s="192"/>
      <c r="V201" s="192"/>
      <c r="AA201" s="195"/>
      <c r="AB201" s="195"/>
      <c r="AC201" s="195"/>
      <c r="AD201" s="196"/>
      <c r="AE201" s="196"/>
      <c r="AF201" s="197"/>
      <c r="AG201" s="197"/>
    </row>
    <row r="202" spans="2:33" ht="15.75" customHeight="1" x14ac:dyDescent="0.3">
      <c r="B202" s="59"/>
      <c r="C202" s="65"/>
      <c r="D202" s="180"/>
      <c r="E202" s="181"/>
      <c r="F202" s="198"/>
      <c r="G202" s="183"/>
      <c r="H202" s="198"/>
      <c r="I202" s="184"/>
      <c r="J202" s="185"/>
      <c r="K202" s="186"/>
      <c r="L202" s="187"/>
      <c r="M202" s="200"/>
      <c r="N202" s="185"/>
      <c r="O202" s="189"/>
      <c r="P202" s="190"/>
      <c r="Q202" s="189"/>
      <c r="R202" s="189"/>
      <c r="S202" s="191"/>
      <c r="T202" s="192"/>
      <c r="U202" s="192"/>
      <c r="V202" s="192"/>
      <c r="AA202" s="195"/>
      <c r="AB202" s="195"/>
      <c r="AC202" s="195"/>
      <c r="AD202" s="196"/>
      <c r="AE202" s="196"/>
      <c r="AF202" s="197"/>
      <c r="AG202" s="197"/>
    </row>
    <row r="203" spans="2:33" ht="15.75" customHeight="1" x14ac:dyDescent="0.3">
      <c r="B203" s="59"/>
      <c r="C203" s="65"/>
      <c r="D203" s="180"/>
      <c r="E203" s="181"/>
      <c r="F203" s="198"/>
      <c r="G203" s="183"/>
      <c r="H203" s="198"/>
      <c r="I203" s="184"/>
      <c r="J203" s="185"/>
      <c r="K203" s="186"/>
      <c r="L203" s="187"/>
      <c r="M203" s="200"/>
      <c r="N203" s="185"/>
      <c r="O203" s="189"/>
      <c r="P203" s="190"/>
      <c r="Q203" s="189"/>
      <c r="R203" s="189"/>
      <c r="S203" s="191"/>
      <c r="T203" s="192"/>
      <c r="U203" s="192"/>
      <c r="V203" s="192"/>
      <c r="AA203" s="195"/>
      <c r="AB203" s="195"/>
      <c r="AC203" s="195"/>
      <c r="AD203" s="196"/>
      <c r="AE203" s="196"/>
      <c r="AF203" s="197"/>
      <c r="AG203" s="197"/>
    </row>
    <row r="204" spans="2:33" ht="15.75" customHeight="1" x14ac:dyDescent="0.3">
      <c r="B204" s="59"/>
      <c r="C204" s="65"/>
      <c r="D204" s="180"/>
      <c r="E204" s="181"/>
      <c r="F204" s="198"/>
      <c r="G204" s="183"/>
      <c r="H204" s="198"/>
      <c r="I204" s="184"/>
      <c r="J204" s="185"/>
      <c r="K204" s="186"/>
      <c r="L204" s="187"/>
      <c r="M204" s="200"/>
      <c r="N204" s="185"/>
      <c r="O204" s="189"/>
      <c r="P204" s="190"/>
      <c r="Q204" s="189"/>
      <c r="R204" s="189"/>
      <c r="S204" s="191"/>
      <c r="T204" s="192"/>
      <c r="U204" s="192"/>
      <c r="V204" s="192"/>
      <c r="AA204" s="195"/>
      <c r="AB204" s="195"/>
      <c r="AC204" s="195"/>
      <c r="AD204" s="196"/>
      <c r="AE204" s="196"/>
      <c r="AF204" s="197"/>
      <c r="AG204" s="197"/>
    </row>
    <row r="205" spans="2:33" ht="15.75" customHeight="1" x14ac:dyDescent="0.3">
      <c r="B205" s="59"/>
      <c r="C205" s="65"/>
      <c r="D205" s="180"/>
      <c r="E205" s="181"/>
      <c r="F205" s="198"/>
      <c r="G205" s="183"/>
      <c r="H205" s="198"/>
      <c r="I205" s="184"/>
      <c r="J205" s="185"/>
      <c r="K205" s="186"/>
      <c r="L205" s="187"/>
      <c r="M205" s="200"/>
      <c r="N205" s="185"/>
      <c r="O205" s="189"/>
      <c r="P205" s="190"/>
      <c r="Q205" s="189"/>
      <c r="R205" s="189"/>
      <c r="S205" s="191"/>
      <c r="T205" s="192"/>
      <c r="U205" s="192"/>
      <c r="V205" s="192"/>
      <c r="AA205" s="195"/>
      <c r="AB205" s="195"/>
      <c r="AC205" s="195"/>
      <c r="AD205" s="196"/>
      <c r="AE205" s="196"/>
      <c r="AF205" s="197"/>
      <c r="AG205" s="197"/>
    </row>
    <row r="206" spans="2:33" ht="15.75" customHeight="1" x14ac:dyDescent="0.3">
      <c r="B206" s="59"/>
      <c r="C206" s="65"/>
      <c r="D206" s="180"/>
      <c r="E206" s="181"/>
      <c r="F206" s="198"/>
      <c r="G206" s="183"/>
      <c r="H206" s="198"/>
      <c r="I206" s="184"/>
      <c r="J206" s="185"/>
      <c r="K206" s="186"/>
      <c r="L206" s="187"/>
      <c r="M206" s="200"/>
      <c r="N206" s="185"/>
      <c r="O206" s="189"/>
      <c r="P206" s="190"/>
      <c r="Q206" s="189"/>
      <c r="R206" s="189"/>
      <c r="S206" s="191"/>
      <c r="T206" s="192"/>
      <c r="U206" s="192"/>
      <c r="V206" s="192"/>
      <c r="AA206" s="195"/>
      <c r="AB206" s="195"/>
      <c r="AC206" s="195"/>
      <c r="AD206" s="196"/>
      <c r="AE206" s="196"/>
      <c r="AF206" s="197"/>
      <c r="AG206" s="197"/>
    </row>
    <row r="207" spans="2:33" ht="15.75" customHeight="1" x14ac:dyDescent="0.3">
      <c r="B207" s="59"/>
      <c r="C207" s="65"/>
      <c r="D207" s="180"/>
      <c r="E207" s="181"/>
      <c r="F207" s="198"/>
      <c r="G207" s="183"/>
      <c r="H207" s="198"/>
      <c r="I207" s="184"/>
      <c r="J207" s="185"/>
      <c r="K207" s="186"/>
      <c r="L207" s="187"/>
      <c r="M207" s="200"/>
      <c r="N207" s="185"/>
      <c r="O207" s="189"/>
      <c r="P207" s="190"/>
      <c r="Q207" s="189"/>
      <c r="R207" s="189"/>
      <c r="S207" s="191"/>
      <c r="T207" s="192"/>
      <c r="U207" s="192"/>
      <c r="V207" s="192"/>
      <c r="AA207" s="195"/>
      <c r="AB207" s="195"/>
      <c r="AC207" s="195"/>
      <c r="AD207" s="196"/>
      <c r="AE207" s="196"/>
      <c r="AF207" s="197"/>
      <c r="AG207" s="197"/>
    </row>
    <row r="208" spans="2:33" ht="15.75" customHeight="1" x14ac:dyDescent="0.3">
      <c r="B208" s="59"/>
      <c r="C208" s="65"/>
      <c r="D208" s="180"/>
      <c r="E208" s="181"/>
      <c r="F208" s="198"/>
      <c r="G208" s="183"/>
      <c r="H208" s="198"/>
      <c r="I208" s="184"/>
      <c r="J208" s="185"/>
      <c r="K208" s="186"/>
      <c r="L208" s="187"/>
      <c r="M208" s="200"/>
      <c r="N208" s="185"/>
      <c r="O208" s="189"/>
      <c r="P208" s="190"/>
      <c r="Q208" s="189"/>
      <c r="R208" s="189"/>
      <c r="S208" s="191"/>
      <c r="T208" s="192"/>
      <c r="U208" s="192"/>
      <c r="V208" s="192"/>
      <c r="AA208" s="195"/>
      <c r="AB208" s="195"/>
      <c r="AC208" s="195"/>
      <c r="AD208" s="196"/>
      <c r="AE208" s="196"/>
      <c r="AF208" s="197"/>
      <c r="AG208" s="197"/>
    </row>
    <row r="209" spans="2:33" ht="15.75" customHeight="1" x14ac:dyDescent="0.3">
      <c r="B209" s="59"/>
      <c r="C209" s="65"/>
      <c r="D209" s="180"/>
      <c r="E209" s="181"/>
      <c r="F209" s="198"/>
      <c r="G209" s="183"/>
      <c r="H209" s="198"/>
      <c r="I209" s="184"/>
      <c r="J209" s="185"/>
      <c r="K209" s="186"/>
      <c r="L209" s="187"/>
      <c r="M209" s="200"/>
      <c r="N209" s="185"/>
      <c r="O209" s="189"/>
      <c r="P209" s="190"/>
      <c r="Q209" s="189"/>
      <c r="R209" s="189"/>
      <c r="S209" s="191"/>
      <c r="T209" s="192"/>
      <c r="U209" s="192"/>
      <c r="V209" s="192"/>
      <c r="AA209" s="195"/>
      <c r="AB209" s="195"/>
      <c r="AC209" s="195"/>
      <c r="AD209" s="196"/>
      <c r="AE209" s="196"/>
      <c r="AF209" s="197"/>
      <c r="AG209" s="197"/>
    </row>
    <row r="210" spans="2:33" ht="15.75" customHeight="1" x14ac:dyDescent="0.3">
      <c r="B210" s="59"/>
      <c r="C210" s="65"/>
      <c r="D210" s="180"/>
      <c r="E210" s="181"/>
      <c r="F210" s="198"/>
      <c r="G210" s="183"/>
      <c r="H210" s="198"/>
      <c r="I210" s="184"/>
      <c r="J210" s="185"/>
      <c r="K210" s="186"/>
      <c r="L210" s="187"/>
      <c r="M210" s="200"/>
      <c r="N210" s="185"/>
      <c r="O210" s="189"/>
      <c r="P210" s="190"/>
      <c r="Q210" s="189"/>
      <c r="R210" s="189"/>
      <c r="S210" s="191"/>
      <c r="T210" s="192"/>
      <c r="U210" s="192"/>
      <c r="V210" s="192"/>
      <c r="AA210" s="195"/>
      <c r="AB210" s="195"/>
      <c r="AC210" s="195"/>
      <c r="AD210" s="196"/>
      <c r="AE210" s="196"/>
      <c r="AF210" s="197"/>
      <c r="AG210" s="197"/>
    </row>
    <row r="211" spans="2:33" ht="15.75" customHeight="1" x14ac:dyDescent="0.3">
      <c r="B211" s="59"/>
      <c r="C211" s="65"/>
      <c r="D211" s="180"/>
      <c r="E211" s="181"/>
      <c r="F211" s="198"/>
      <c r="G211" s="183"/>
      <c r="H211" s="198"/>
      <c r="I211" s="184"/>
      <c r="J211" s="185"/>
      <c r="K211" s="186"/>
      <c r="L211" s="187"/>
      <c r="M211" s="200"/>
      <c r="N211" s="185"/>
      <c r="O211" s="189"/>
      <c r="P211" s="190"/>
      <c r="Q211" s="189"/>
      <c r="R211" s="189"/>
      <c r="S211" s="191"/>
      <c r="T211" s="192"/>
      <c r="U211" s="192"/>
      <c r="V211" s="192"/>
      <c r="AA211" s="195"/>
      <c r="AB211" s="195"/>
      <c r="AC211" s="195"/>
      <c r="AD211" s="196"/>
      <c r="AE211" s="196"/>
      <c r="AF211" s="197"/>
      <c r="AG211" s="197"/>
    </row>
    <row r="212" spans="2:33" ht="15.75" customHeight="1" x14ac:dyDescent="0.3">
      <c r="B212" s="59"/>
      <c r="C212" s="65"/>
      <c r="D212" s="180"/>
      <c r="E212" s="181"/>
      <c r="F212" s="198"/>
      <c r="G212" s="183"/>
      <c r="H212" s="198"/>
      <c r="I212" s="184"/>
      <c r="J212" s="185"/>
      <c r="K212" s="186"/>
      <c r="L212" s="187"/>
      <c r="M212" s="200"/>
      <c r="N212" s="185"/>
      <c r="O212" s="189"/>
      <c r="P212" s="190"/>
      <c r="Q212" s="189"/>
      <c r="R212" s="189"/>
      <c r="S212" s="191"/>
      <c r="T212" s="192"/>
      <c r="U212" s="192"/>
      <c r="V212" s="192"/>
      <c r="AA212" s="195"/>
      <c r="AB212" s="195"/>
      <c r="AC212" s="195"/>
      <c r="AD212" s="196"/>
      <c r="AE212" s="196"/>
      <c r="AF212" s="197"/>
      <c r="AG212" s="197"/>
    </row>
    <row r="213" spans="2:33" ht="15.75" customHeight="1" x14ac:dyDescent="0.3">
      <c r="B213" s="59"/>
      <c r="C213" s="65"/>
      <c r="D213" s="180"/>
      <c r="E213" s="181"/>
      <c r="F213" s="198"/>
      <c r="G213" s="183"/>
      <c r="H213" s="198"/>
      <c r="I213" s="184"/>
      <c r="J213" s="185"/>
      <c r="K213" s="186"/>
      <c r="L213" s="187"/>
      <c r="M213" s="200"/>
      <c r="N213" s="185"/>
      <c r="O213" s="189"/>
      <c r="P213" s="190"/>
      <c r="Q213" s="189"/>
      <c r="R213" s="189"/>
      <c r="S213" s="191"/>
      <c r="T213" s="192"/>
      <c r="U213" s="192"/>
      <c r="V213" s="192"/>
      <c r="AA213" s="195"/>
      <c r="AB213" s="195"/>
      <c r="AC213" s="195"/>
      <c r="AD213" s="196"/>
      <c r="AE213" s="196"/>
      <c r="AF213" s="197"/>
      <c r="AG213" s="197"/>
    </row>
    <row r="214" spans="2:33" ht="15.75" customHeight="1" x14ac:dyDescent="0.3">
      <c r="B214" s="59"/>
      <c r="C214" s="65"/>
      <c r="D214" s="180"/>
      <c r="E214" s="181"/>
      <c r="F214" s="198"/>
      <c r="G214" s="183"/>
      <c r="H214" s="198"/>
      <c r="I214" s="184"/>
      <c r="J214" s="185"/>
      <c r="K214" s="186"/>
      <c r="L214" s="187"/>
      <c r="M214" s="200"/>
      <c r="N214" s="185"/>
      <c r="O214" s="189"/>
      <c r="P214" s="190"/>
      <c r="Q214" s="189"/>
      <c r="R214" s="189"/>
      <c r="S214" s="191"/>
      <c r="T214" s="192"/>
      <c r="U214" s="192"/>
      <c r="V214" s="192"/>
      <c r="AA214" s="195"/>
      <c r="AB214" s="195"/>
      <c r="AC214" s="195"/>
      <c r="AD214" s="196"/>
      <c r="AE214" s="196"/>
      <c r="AF214" s="197"/>
      <c r="AG214" s="197"/>
    </row>
    <row r="215" spans="2:33" ht="15.75" customHeight="1" x14ac:dyDescent="0.3">
      <c r="B215" s="59"/>
      <c r="C215" s="65"/>
      <c r="D215" s="180"/>
      <c r="E215" s="181"/>
      <c r="F215" s="198"/>
      <c r="G215" s="183"/>
      <c r="H215" s="198"/>
      <c r="I215" s="184"/>
      <c r="J215" s="185"/>
      <c r="K215" s="186"/>
      <c r="L215" s="187"/>
      <c r="M215" s="200"/>
      <c r="N215" s="185"/>
      <c r="O215" s="189"/>
      <c r="P215" s="190"/>
      <c r="Q215" s="189"/>
      <c r="R215" s="189"/>
      <c r="S215" s="191"/>
      <c r="T215" s="192"/>
      <c r="U215" s="192"/>
      <c r="V215" s="192"/>
      <c r="AA215" s="195"/>
      <c r="AB215" s="195"/>
      <c r="AC215" s="195"/>
      <c r="AD215" s="196"/>
      <c r="AE215" s="196"/>
      <c r="AF215" s="197"/>
      <c r="AG215" s="197"/>
    </row>
    <row r="216" spans="2:33" ht="15.75" customHeight="1" x14ac:dyDescent="0.3">
      <c r="B216" s="59"/>
      <c r="C216" s="65"/>
      <c r="D216" s="180"/>
      <c r="E216" s="181"/>
      <c r="F216" s="198"/>
      <c r="G216" s="183"/>
      <c r="H216" s="198"/>
      <c r="I216" s="184"/>
      <c r="J216" s="185"/>
      <c r="K216" s="186"/>
      <c r="L216" s="187"/>
      <c r="M216" s="200"/>
      <c r="N216" s="185"/>
      <c r="O216" s="189"/>
      <c r="P216" s="190"/>
      <c r="Q216" s="189"/>
      <c r="R216" s="189"/>
      <c r="S216" s="191"/>
      <c r="T216" s="192"/>
      <c r="U216" s="192"/>
      <c r="V216" s="192"/>
      <c r="AA216" s="195"/>
      <c r="AB216" s="195"/>
      <c r="AC216" s="195"/>
      <c r="AD216" s="196"/>
      <c r="AE216" s="196"/>
      <c r="AF216" s="197"/>
      <c r="AG216" s="197"/>
    </row>
    <row r="217" spans="2:33" ht="15.75" customHeight="1" x14ac:dyDescent="0.3">
      <c r="B217" s="59"/>
      <c r="C217" s="65"/>
      <c r="D217" s="180"/>
      <c r="E217" s="181"/>
      <c r="F217" s="198"/>
      <c r="G217" s="183"/>
      <c r="H217" s="198"/>
      <c r="I217" s="184"/>
      <c r="J217" s="185"/>
      <c r="K217" s="186"/>
      <c r="L217" s="187"/>
      <c r="M217" s="200"/>
      <c r="N217" s="185"/>
      <c r="O217" s="189"/>
      <c r="P217" s="190"/>
      <c r="Q217" s="189"/>
      <c r="R217" s="189"/>
      <c r="S217" s="191"/>
      <c r="T217" s="192"/>
      <c r="U217" s="192"/>
      <c r="V217" s="192"/>
      <c r="AA217" s="195"/>
      <c r="AB217" s="195"/>
      <c r="AC217" s="195"/>
      <c r="AD217" s="196"/>
      <c r="AE217" s="196"/>
      <c r="AF217" s="197"/>
      <c r="AG217" s="197"/>
    </row>
    <row r="218" spans="2:33" ht="15.75" customHeight="1" x14ac:dyDescent="0.3">
      <c r="B218" s="59"/>
      <c r="C218" s="65"/>
      <c r="D218" s="180"/>
      <c r="E218" s="181"/>
      <c r="F218" s="198"/>
      <c r="G218" s="183"/>
      <c r="H218" s="198"/>
      <c r="I218" s="184"/>
      <c r="J218" s="185"/>
      <c r="K218" s="186"/>
      <c r="L218" s="187"/>
      <c r="M218" s="200"/>
      <c r="N218" s="185"/>
      <c r="O218" s="189"/>
      <c r="P218" s="190"/>
      <c r="Q218" s="189"/>
      <c r="R218" s="189"/>
      <c r="S218" s="191"/>
      <c r="T218" s="192"/>
      <c r="U218" s="192"/>
      <c r="V218" s="192"/>
      <c r="AA218" s="195"/>
      <c r="AB218" s="195"/>
      <c r="AC218" s="195"/>
      <c r="AD218" s="196"/>
      <c r="AE218" s="196"/>
      <c r="AF218" s="197"/>
      <c r="AG218" s="197"/>
    </row>
    <row r="219" spans="2:33" ht="15.75" customHeight="1" x14ac:dyDescent="0.3">
      <c r="B219" s="59"/>
      <c r="C219" s="65"/>
      <c r="D219" s="180"/>
      <c r="E219" s="181"/>
      <c r="F219" s="198"/>
      <c r="G219" s="183"/>
      <c r="H219" s="198"/>
      <c r="I219" s="184"/>
      <c r="J219" s="185"/>
      <c r="K219" s="186"/>
      <c r="L219" s="187"/>
      <c r="M219" s="200"/>
      <c r="N219" s="185"/>
      <c r="O219" s="189"/>
      <c r="P219" s="190"/>
      <c r="Q219" s="189"/>
      <c r="R219" s="189"/>
      <c r="S219" s="191"/>
      <c r="T219" s="192"/>
      <c r="U219" s="192"/>
      <c r="V219" s="192"/>
      <c r="AA219" s="195"/>
      <c r="AB219" s="195"/>
      <c r="AC219" s="195"/>
      <c r="AD219" s="196"/>
      <c r="AE219" s="196"/>
      <c r="AF219" s="197"/>
      <c r="AG219" s="197"/>
    </row>
    <row r="220" spans="2:33" ht="15.75" customHeight="1" x14ac:dyDescent="0.3">
      <c r="B220" s="59"/>
      <c r="C220" s="65"/>
      <c r="D220" s="180"/>
      <c r="E220" s="181"/>
      <c r="F220" s="198"/>
      <c r="G220" s="183"/>
      <c r="H220" s="198"/>
      <c r="I220" s="184"/>
      <c r="J220" s="185"/>
      <c r="K220" s="186"/>
      <c r="L220" s="187"/>
      <c r="M220" s="200"/>
      <c r="N220" s="185"/>
      <c r="O220" s="189"/>
      <c r="P220" s="190"/>
      <c r="Q220" s="189"/>
      <c r="R220" s="189"/>
      <c r="S220" s="191"/>
      <c r="T220" s="192"/>
      <c r="U220" s="192"/>
      <c r="V220" s="192"/>
      <c r="AA220" s="195"/>
      <c r="AB220" s="195"/>
      <c r="AC220" s="195"/>
      <c r="AD220" s="196"/>
      <c r="AE220" s="196"/>
      <c r="AF220" s="197"/>
      <c r="AG220" s="197"/>
    </row>
    <row r="221" spans="2:33" ht="15.75" customHeight="1" x14ac:dyDescent="0.3">
      <c r="B221" s="59"/>
      <c r="C221" s="65"/>
      <c r="D221" s="180"/>
      <c r="E221" s="181"/>
      <c r="F221" s="198"/>
      <c r="G221" s="183"/>
      <c r="H221" s="198"/>
      <c r="I221" s="184"/>
      <c r="J221" s="185"/>
      <c r="K221" s="186"/>
      <c r="L221" s="187"/>
      <c r="M221" s="200"/>
      <c r="N221" s="185"/>
      <c r="O221" s="189"/>
      <c r="P221" s="190"/>
      <c r="Q221" s="189"/>
      <c r="R221" s="189"/>
      <c r="S221" s="191"/>
      <c r="T221" s="192"/>
      <c r="U221" s="192"/>
      <c r="V221" s="192"/>
      <c r="AA221" s="195"/>
      <c r="AB221" s="195"/>
      <c r="AC221" s="195"/>
      <c r="AD221" s="196"/>
      <c r="AE221" s="196"/>
      <c r="AF221" s="197"/>
      <c r="AG221" s="197"/>
    </row>
    <row r="222" spans="2:33" ht="15.75" customHeight="1" x14ac:dyDescent="0.3">
      <c r="B222" s="59"/>
      <c r="C222" s="65"/>
      <c r="D222" s="180"/>
      <c r="E222" s="181"/>
      <c r="F222" s="198"/>
      <c r="G222" s="183"/>
      <c r="H222" s="198"/>
      <c r="I222" s="184"/>
      <c r="J222" s="185"/>
      <c r="K222" s="186"/>
      <c r="L222" s="187"/>
      <c r="M222" s="200"/>
      <c r="N222" s="185"/>
      <c r="O222" s="189"/>
      <c r="P222" s="190"/>
      <c r="Q222" s="189"/>
      <c r="R222" s="189"/>
      <c r="S222" s="191"/>
      <c r="T222" s="192"/>
      <c r="U222" s="192"/>
      <c r="V222" s="192"/>
      <c r="AA222" s="195"/>
      <c r="AB222" s="195"/>
      <c r="AC222" s="195"/>
      <c r="AD222" s="196"/>
      <c r="AE222" s="196"/>
      <c r="AF222" s="197"/>
      <c r="AG222" s="197"/>
    </row>
    <row r="223" spans="2:33" ht="15.75" customHeight="1" x14ac:dyDescent="0.3">
      <c r="B223" s="59"/>
      <c r="C223" s="65"/>
      <c r="D223" s="180"/>
      <c r="E223" s="181"/>
      <c r="F223" s="198"/>
      <c r="G223" s="183"/>
      <c r="H223" s="198"/>
      <c r="I223" s="184"/>
      <c r="J223" s="185"/>
      <c r="K223" s="186"/>
      <c r="L223" s="187"/>
      <c r="M223" s="200"/>
      <c r="N223" s="185"/>
      <c r="O223" s="189"/>
      <c r="P223" s="190"/>
      <c r="Q223" s="189"/>
      <c r="R223" s="189"/>
      <c r="S223" s="191"/>
      <c r="T223" s="192"/>
      <c r="U223" s="192"/>
      <c r="V223" s="192"/>
      <c r="AA223" s="195"/>
      <c r="AB223" s="195"/>
      <c r="AC223" s="195"/>
      <c r="AD223" s="196"/>
      <c r="AE223" s="196"/>
      <c r="AF223" s="197"/>
      <c r="AG223" s="197"/>
    </row>
    <row r="224" spans="2:33" ht="15.75" customHeight="1" x14ac:dyDescent="0.3">
      <c r="B224" s="59"/>
      <c r="C224" s="65"/>
      <c r="D224" s="180"/>
      <c r="E224" s="181"/>
      <c r="F224" s="198"/>
      <c r="G224" s="183"/>
      <c r="H224" s="198"/>
      <c r="I224" s="184"/>
      <c r="J224" s="185"/>
      <c r="K224" s="186"/>
      <c r="L224" s="187"/>
      <c r="M224" s="200"/>
      <c r="N224" s="185"/>
      <c r="O224" s="189"/>
      <c r="P224" s="190"/>
      <c r="Q224" s="189"/>
      <c r="R224" s="189"/>
      <c r="S224" s="191"/>
      <c r="T224" s="192"/>
      <c r="U224" s="192"/>
      <c r="V224" s="192"/>
      <c r="AA224" s="195"/>
      <c r="AB224" s="195"/>
      <c r="AC224" s="195"/>
      <c r="AD224" s="196"/>
      <c r="AE224" s="196"/>
      <c r="AF224" s="197"/>
      <c r="AG224" s="197"/>
    </row>
    <row r="225" spans="2:33" ht="15.75" customHeight="1" x14ac:dyDescent="0.3">
      <c r="B225" s="59"/>
      <c r="C225" s="65"/>
      <c r="D225" s="180"/>
      <c r="E225" s="181"/>
      <c r="F225" s="198"/>
      <c r="G225" s="183"/>
      <c r="H225" s="198"/>
      <c r="I225" s="184"/>
      <c r="J225" s="185"/>
      <c r="K225" s="186"/>
      <c r="L225" s="187"/>
      <c r="M225" s="200"/>
      <c r="N225" s="185"/>
      <c r="O225" s="189"/>
      <c r="P225" s="190"/>
      <c r="Q225" s="189"/>
      <c r="R225" s="189"/>
      <c r="S225" s="191"/>
      <c r="T225" s="192"/>
      <c r="U225" s="192"/>
      <c r="V225" s="192"/>
      <c r="AA225" s="195"/>
      <c r="AB225" s="195"/>
      <c r="AC225" s="195"/>
      <c r="AD225" s="196"/>
      <c r="AE225" s="196"/>
      <c r="AF225" s="197"/>
      <c r="AG225" s="197"/>
    </row>
    <row r="226" spans="2:33" ht="15.75" customHeight="1" x14ac:dyDescent="0.3">
      <c r="B226" s="59"/>
      <c r="C226" s="65"/>
      <c r="D226" s="180"/>
      <c r="E226" s="181"/>
      <c r="F226" s="198"/>
      <c r="G226" s="183"/>
      <c r="H226" s="198"/>
      <c r="I226" s="184"/>
      <c r="J226" s="185"/>
      <c r="K226" s="186"/>
      <c r="L226" s="187"/>
      <c r="M226" s="200"/>
      <c r="N226" s="185"/>
      <c r="O226" s="189"/>
      <c r="P226" s="190"/>
      <c r="Q226" s="189"/>
      <c r="R226" s="189"/>
      <c r="S226" s="191"/>
      <c r="T226" s="192"/>
      <c r="U226" s="192"/>
      <c r="V226" s="192"/>
      <c r="AA226" s="195"/>
      <c r="AB226" s="195"/>
      <c r="AC226" s="195"/>
      <c r="AD226" s="196"/>
      <c r="AE226" s="196"/>
      <c r="AF226" s="197"/>
      <c r="AG226" s="197"/>
    </row>
    <row r="227" spans="2:33" ht="15.75" customHeight="1" x14ac:dyDescent="0.3">
      <c r="B227" s="59"/>
      <c r="C227" s="65"/>
      <c r="D227" s="180"/>
      <c r="E227" s="181"/>
      <c r="F227" s="198"/>
      <c r="G227" s="183"/>
      <c r="H227" s="198"/>
      <c r="I227" s="184"/>
      <c r="J227" s="185"/>
      <c r="K227" s="186"/>
      <c r="L227" s="187"/>
      <c r="M227" s="200"/>
      <c r="N227" s="185"/>
      <c r="O227" s="189"/>
      <c r="P227" s="190"/>
      <c r="Q227" s="189"/>
      <c r="R227" s="189"/>
      <c r="S227" s="191"/>
      <c r="T227" s="192"/>
      <c r="U227" s="192"/>
      <c r="V227" s="192"/>
      <c r="AA227" s="195"/>
      <c r="AB227" s="195"/>
      <c r="AC227" s="195"/>
      <c r="AD227" s="196"/>
      <c r="AE227" s="196"/>
      <c r="AF227" s="197"/>
      <c r="AG227" s="197"/>
    </row>
    <row r="228" spans="2:33" ht="15.75" customHeight="1" x14ac:dyDescent="0.3">
      <c r="B228" s="59"/>
      <c r="C228" s="65"/>
      <c r="D228" s="180"/>
      <c r="E228" s="181"/>
      <c r="F228" s="198"/>
      <c r="G228" s="183"/>
      <c r="H228" s="198"/>
      <c r="I228" s="184"/>
      <c r="J228" s="185"/>
      <c r="K228" s="186"/>
      <c r="L228" s="187"/>
      <c r="M228" s="200"/>
      <c r="N228" s="185"/>
      <c r="O228" s="189"/>
      <c r="P228" s="190"/>
      <c r="Q228" s="189"/>
      <c r="R228" s="189"/>
      <c r="S228" s="191"/>
      <c r="T228" s="192"/>
      <c r="U228" s="192"/>
      <c r="V228" s="192"/>
      <c r="AA228" s="195"/>
      <c r="AB228" s="195"/>
      <c r="AC228" s="195"/>
      <c r="AD228" s="196"/>
      <c r="AE228" s="196"/>
      <c r="AF228" s="197"/>
      <c r="AG228" s="197"/>
    </row>
    <row r="229" spans="2:33" ht="15.75" customHeight="1" x14ac:dyDescent="0.3">
      <c r="B229" s="59"/>
      <c r="C229" s="65"/>
      <c r="D229" s="180"/>
      <c r="E229" s="181"/>
      <c r="F229" s="198"/>
      <c r="G229" s="183"/>
      <c r="H229" s="198"/>
      <c r="I229" s="184"/>
      <c r="J229" s="185"/>
      <c r="K229" s="186"/>
      <c r="L229" s="187"/>
      <c r="M229" s="200"/>
      <c r="N229" s="185"/>
      <c r="O229" s="189"/>
      <c r="P229" s="190"/>
      <c r="Q229" s="189"/>
      <c r="R229" s="189"/>
      <c r="S229" s="191"/>
      <c r="T229" s="192"/>
      <c r="U229" s="192"/>
      <c r="V229" s="192"/>
      <c r="AA229" s="195"/>
      <c r="AB229" s="195"/>
      <c r="AC229" s="195"/>
      <c r="AD229" s="196"/>
      <c r="AE229" s="196"/>
      <c r="AF229" s="197"/>
      <c r="AG229" s="197"/>
    </row>
    <row r="230" spans="2:33" ht="15.75" customHeight="1" x14ac:dyDescent="0.3">
      <c r="B230" s="59"/>
      <c r="C230" s="65"/>
      <c r="D230" s="180"/>
      <c r="E230" s="181"/>
      <c r="F230" s="198"/>
      <c r="G230" s="183"/>
      <c r="H230" s="198"/>
      <c r="I230" s="184"/>
      <c r="J230" s="185"/>
      <c r="K230" s="186"/>
      <c r="L230" s="187"/>
      <c r="M230" s="200"/>
      <c r="N230" s="185"/>
      <c r="O230" s="189"/>
      <c r="P230" s="190"/>
      <c r="Q230" s="189"/>
      <c r="R230" s="189"/>
      <c r="S230" s="191"/>
      <c r="T230" s="192"/>
      <c r="U230" s="192"/>
      <c r="V230" s="192"/>
      <c r="AA230" s="195"/>
      <c r="AB230" s="195"/>
      <c r="AC230" s="195"/>
      <c r="AD230" s="196"/>
      <c r="AE230" s="196"/>
      <c r="AF230" s="197"/>
      <c r="AG230" s="197"/>
    </row>
    <row r="231" spans="2:33" ht="15.75" customHeight="1" x14ac:dyDescent="0.3">
      <c r="B231" s="59"/>
      <c r="C231" s="65"/>
      <c r="D231" s="180"/>
      <c r="E231" s="181"/>
      <c r="F231" s="198"/>
      <c r="G231" s="183"/>
      <c r="H231" s="198"/>
      <c r="I231" s="184"/>
      <c r="J231" s="185"/>
      <c r="K231" s="186"/>
      <c r="L231" s="187"/>
      <c r="M231" s="200"/>
      <c r="N231" s="185"/>
      <c r="O231" s="189"/>
      <c r="P231" s="190"/>
      <c r="Q231" s="189"/>
      <c r="R231" s="189"/>
      <c r="S231" s="191"/>
      <c r="T231" s="192"/>
      <c r="U231" s="192"/>
      <c r="V231" s="192"/>
      <c r="AA231" s="195"/>
      <c r="AB231" s="195"/>
      <c r="AC231" s="195"/>
      <c r="AD231" s="196"/>
      <c r="AE231" s="196"/>
      <c r="AF231" s="197"/>
      <c r="AG231" s="197"/>
    </row>
    <row r="232" spans="2:33" ht="15.75" customHeight="1" x14ac:dyDescent="0.3">
      <c r="B232" s="59"/>
      <c r="C232" s="65"/>
      <c r="D232" s="180"/>
      <c r="E232" s="181"/>
      <c r="F232" s="198"/>
      <c r="G232" s="183"/>
      <c r="H232" s="198"/>
      <c r="I232" s="184"/>
      <c r="J232" s="185"/>
      <c r="K232" s="186"/>
      <c r="L232" s="187"/>
      <c r="M232" s="200"/>
      <c r="N232" s="185"/>
      <c r="O232" s="189"/>
      <c r="P232" s="190"/>
      <c r="Q232" s="189"/>
      <c r="R232" s="189"/>
      <c r="S232" s="191"/>
      <c r="T232" s="192"/>
      <c r="U232" s="192"/>
      <c r="V232" s="192"/>
      <c r="AA232" s="195"/>
      <c r="AB232" s="195"/>
      <c r="AC232" s="195"/>
      <c r="AD232" s="196"/>
      <c r="AE232" s="196"/>
      <c r="AF232" s="197"/>
      <c r="AG232" s="197"/>
    </row>
    <row r="233" spans="2:33" ht="15.75" customHeight="1" x14ac:dyDescent="0.3">
      <c r="B233" s="59"/>
      <c r="C233" s="65"/>
      <c r="D233" s="180"/>
      <c r="E233" s="181"/>
      <c r="F233" s="198"/>
      <c r="G233" s="183"/>
      <c r="H233" s="198"/>
      <c r="I233" s="184"/>
      <c r="J233" s="185"/>
      <c r="K233" s="186"/>
      <c r="L233" s="187"/>
      <c r="M233" s="200"/>
      <c r="N233" s="185"/>
      <c r="O233" s="189"/>
      <c r="P233" s="190"/>
      <c r="Q233" s="189"/>
      <c r="R233" s="189"/>
      <c r="S233" s="191"/>
      <c r="T233" s="192"/>
      <c r="U233" s="192"/>
      <c r="V233" s="192"/>
      <c r="AA233" s="195"/>
      <c r="AB233" s="195"/>
      <c r="AC233" s="195"/>
      <c r="AD233" s="196"/>
      <c r="AE233" s="196"/>
      <c r="AF233" s="197"/>
      <c r="AG233" s="197"/>
    </row>
    <row r="234" spans="2:33" ht="15.75" customHeight="1" x14ac:dyDescent="0.3">
      <c r="B234" s="59"/>
      <c r="C234" s="65"/>
      <c r="D234" s="180"/>
      <c r="E234" s="181"/>
      <c r="F234" s="198"/>
      <c r="G234" s="183"/>
      <c r="H234" s="198"/>
      <c r="I234" s="184"/>
      <c r="J234" s="185"/>
      <c r="K234" s="186"/>
      <c r="L234" s="187"/>
      <c r="M234" s="200"/>
      <c r="N234" s="185"/>
      <c r="O234" s="189"/>
      <c r="P234" s="190"/>
      <c r="Q234" s="189"/>
      <c r="R234" s="189"/>
      <c r="S234" s="191"/>
      <c r="T234" s="192"/>
      <c r="U234" s="192"/>
      <c r="V234" s="192"/>
      <c r="AA234" s="195"/>
      <c r="AB234" s="195"/>
      <c r="AC234" s="195"/>
      <c r="AD234" s="196"/>
      <c r="AE234" s="196"/>
      <c r="AF234" s="197"/>
      <c r="AG234" s="197"/>
    </row>
    <row r="235" spans="2:33" ht="15.75" customHeight="1" x14ac:dyDescent="0.3">
      <c r="B235" s="59"/>
      <c r="C235" s="65"/>
      <c r="D235" s="180"/>
      <c r="E235" s="181"/>
      <c r="F235" s="198"/>
      <c r="G235" s="183"/>
      <c r="H235" s="198"/>
      <c r="I235" s="184"/>
      <c r="J235" s="185"/>
      <c r="K235" s="186"/>
      <c r="L235" s="187"/>
      <c r="M235" s="200"/>
      <c r="N235" s="185"/>
      <c r="O235" s="189"/>
      <c r="P235" s="190"/>
      <c r="Q235" s="189"/>
      <c r="R235" s="189"/>
      <c r="S235" s="191"/>
      <c r="T235" s="192"/>
      <c r="U235" s="192"/>
      <c r="V235" s="192"/>
      <c r="AA235" s="195"/>
      <c r="AB235" s="195"/>
      <c r="AC235" s="195"/>
      <c r="AD235" s="196"/>
      <c r="AE235" s="196"/>
      <c r="AF235" s="197"/>
      <c r="AG235" s="197"/>
    </row>
    <row r="236" spans="2:33" ht="15.75" customHeight="1" x14ac:dyDescent="0.3">
      <c r="B236" s="59"/>
      <c r="C236" s="65"/>
      <c r="D236" s="180"/>
      <c r="E236" s="181"/>
      <c r="F236" s="198"/>
      <c r="G236" s="183"/>
      <c r="H236" s="198"/>
      <c r="I236" s="184"/>
      <c r="J236" s="185"/>
      <c r="K236" s="186"/>
      <c r="L236" s="187"/>
      <c r="M236" s="200"/>
      <c r="N236" s="185"/>
      <c r="O236" s="189"/>
      <c r="P236" s="190"/>
      <c r="Q236" s="189"/>
      <c r="R236" s="189"/>
      <c r="S236" s="191"/>
      <c r="T236" s="192"/>
      <c r="U236" s="192"/>
      <c r="V236" s="192"/>
      <c r="AA236" s="195"/>
      <c r="AB236" s="195"/>
      <c r="AC236" s="195"/>
      <c r="AD236" s="196"/>
      <c r="AE236" s="196"/>
      <c r="AF236" s="197"/>
      <c r="AG236" s="197"/>
    </row>
    <row r="237" spans="2:33" ht="15.75" customHeight="1" x14ac:dyDescent="0.3">
      <c r="B237" s="59"/>
      <c r="C237" s="65"/>
      <c r="D237" s="180"/>
      <c r="E237" s="181"/>
      <c r="F237" s="198"/>
      <c r="G237" s="183"/>
      <c r="H237" s="198"/>
      <c r="I237" s="184"/>
      <c r="J237" s="185"/>
      <c r="K237" s="186"/>
      <c r="L237" s="187"/>
      <c r="M237" s="200"/>
      <c r="N237" s="185"/>
      <c r="O237" s="189"/>
      <c r="P237" s="190"/>
      <c r="Q237" s="189"/>
      <c r="R237" s="189"/>
      <c r="S237" s="191"/>
      <c r="T237" s="192"/>
      <c r="U237" s="192"/>
      <c r="V237" s="192"/>
      <c r="AA237" s="195"/>
      <c r="AB237" s="195"/>
      <c r="AC237" s="195"/>
      <c r="AD237" s="196"/>
      <c r="AE237" s="196"/>
      <c r="AF237" s="197"/>
      <c r="AG237" s="197"/>
    </row>
    <row r="238" spans="2:33" ht="15.75" customHeight="1" x14ac:dyDescent="0.3">
      <c r="B238" s="59"/>
      <c r="C238" s="65"/>
      <c r="D238" s="180"/>
      <c r="E238" s="181"/>
      <c r="F238" s="198"/>
      <c r="G238" s="183"/>
      <c r="H238" s="198"/>
      <c r="I238" s="184"/>
      <c r="J238" s="185"/>
      <c r="K238" s="186"/>
      <c r="L238" s="187"/>
      <c r="M238" s="200"/>
      <c r="N238" s="185"/>
      <c r="O238" s="189"/>
      <c r="P238" s="190"/>
      <c r="Q238" s="189"/>
      <c r="R238" s="189"/>
      <c r="S238" s="191"/>
      <c r="T238" s="192"/>
      <c r="U238" s="192"/>
      <c r="V238" s="192"/>
      <c r="AA238" s="195"/>
      <c r="AB238" s="195"/>
      <c r="AC238" s="195"/>
      <c r="AD238" s="196"/>
      <c r="AE238" s="196"/>
      <c r="AF238" s="197"/>
      <c r="AG238" s="197"/>
    </row>
    <row r="239" spans="2:33" ht="15.75" customHeight="1" x14ac:dyDescent="0.3">
      <c r="B239" s="59"/>
      <c r="C239" s="65"/>
      <c r="D239" s="180"/>
      <c r="E239" s="181"/>
      <c r="F239" s="198"/>
      <c r="G239" s="183"/>
      <c r="H239" s="198"/>
      <c r="I239" s="184"/>
      <c r="J239" s="185"/>
      <c r="K239" s="186"/>
      <c r="L239" s="187"/>
      <c r="M239" s="200"/>
      <c r="N239" s="185"/>
      <c r="O239" s="189"/>
      <c r="P239" s="190"/>
      <c r="Q239" s="189"/>
      <c r="R239" s="189"/>
      <c r="S239" s="191"/>
      <c r="T239" s="192"/>
      <c r="U239" s="192"/>
      <c r="V239" s="192"/>
      <c r="AA239" s="195"/>
      <c r="AB239" s="195"/>
      <c r="AC239" s="195"/>
      <c r="AD239" s="196"/>
      <c r="AE239" s="196"/>
      <c r="AF239" s="197"/>
      <c r="AG239" s="197"/>
    </row>
    <row r="240" spans="2:33" ht="15.75" customHeight="1" x14ac:dyDescent="0.3">
      <c r="B240" s="59"/>
      <c r="C240" s="65"/>
      <c r="D240" s="180"/>
      <c r="E240" s="181"/>
      <c r="F240" s="198"/>
      <c r="G240" s="183"/>
      <c r="H240" s="198"/>
      <c r="I240" s="184"/>
      <c r="J240" s="185"/>
      <c r="K240" s="186"/>
      <c r="L240" s="187"/>
      <c r="M240" s="200"/>
      <c r="N240" s="185"/>
      <c r="O240" s="189"/>
      <c r="P240" s="190"/>
      <c r="Q240" s="189"/>
      <c r="R240" s="189"/>
      <c r="S240" s="191"/>
      <c r="T240" s="192"/>
      <c r="U240" s="192"/>
      <c r="V240" s="192"/>
      <c r="AA240" s="195"/>
      <c r="AB240" s="195"/>
      <c r="AC240" s="195"/>
      <c r="AD240" s="196"/>
      <c r="AE240" s="196"/>
      <c r="AF240" s="197"/>
      <c r="AG240" s="197"/>
    </row>
    <row r="241" spans="2:33" ht="15.75" customHeight="1" x14ac:dyDescent="0.3">
      <c r="B241" s="59"/>
      <c r="C241" s="65"/>
      <c r="D241" s="180"/>
      <c r="E241" s="181"/>
      <c r="F241" s="198"/>
      <c r="G241" s="183"/>
      <c r="H241" s="198"/>
      <c r="I241" s="184"/>
      <c r="J241" s="185"/>
      <c r="K241" s="186"/>
      <c r="L241" s="187"/>
      <c r="M241" s="200"/>
      <c r="N241" s="185"/>
      <c r="O241" s="189"/>
      <c r="P241" s="190"/>
      <c r="Q241" s="189"/>
      <c r="R241" s="189"/>
      <c r="S241" s="191"/>
      <c r="T241" s="192"/>
      <c r="U241" s="192"/>
      <c r="V241" s="192"/>
      <c r="AA241" s="195"/>
      <c r="AB241" s="195"/>
      <c r="AC241" s="195"/>
      <c r="AD241" s="196"/>
      <c r="AE241" s="196"/>
      <c r="AF241" s="197"/>
      <c r="AG241" s="197"/>
    </row>
    <row r="242" spans="2:33" ht="15.75" customHeight="1" x14ac:dyDescent="0.3">
      <c r="B242" s="59"/>
      <c r="C242" s="65"/>
      <c r="D242" s="180"/>
      <c r="E242" s="181"/>
      <c r="F242" s="198"/>
      <c r="G242" s="183"/>
      <c r="H242" s="198"/>
      <c r="I242" s="184"/>
      <c r="J242" s="185"/>
      <c r="K242" s="186"/>
      <c r="L242" s="187"/>
      <c r="M242" s="200"/>
      <c r="N242" s="185"/>
      <c r="O242" s="189"/>
      <c r="P242" s="190"/>
      <c r="Q242" s="189"/>
      <c r="R242" s="189"/>
      <c r="S242" s="191"/>
      <c r="T242" s="192"/>
      <c r="U242" s="192"/>
      <c r="V242" s="192"/>
      <c r="AA242" s="195"/>
      <c r="AB242" s="195"/>
      <c r="AC242" s="195"/>
      <c r="AD242" s="196"/>
      <c r="AE242" s="196"/>
      <c r="AF242" s="197"/>
      <c r="AG242" s="197"/>
    </row>
    <row r="243" spans="2:33" ht="15.75" customHeight="1" x14ac:dyDescent="0.3">
      <c r="B243" s="59"/>
      <c r="C243" s="65"/>
      <c r="D243" s="180"/>
      <c r="E243" s="181"/>
      <c r="F243" s="198"/>
      <c r="G243" s="183"/>
      <c r="H243" s="198"/>
      <c r="I243" s="184"/>
      <c r="J243" s="185"/>
      <c r="K243" s="186"/>
      <c r="L243" s="187"/>
      <c r="M243" s="200"/>
      <c r="N243" s="185"/>
      <c r="O243" s="189"/>
      <c r="P243" s="190"/>
      <c r="Q243" s="189"/>
      <c r="R243" s="189"/>
      <c r="S243" s="191"/>
      <c r="T243" s="192"/>
      <c r="U243" s="192"/>
      <c r="V243" s="192"/>
      <c r="AA243" s="195"/>
      <c r="AB243" s="195"/>
      <c r="AC243" s="195"/>
      <c r="AD243" s="196"/>
      <c r="AE243" s="196"/>
      <c r="AF243" s="197"/>
      <c r="AG243" s="197"/>
    </row>
    <row r="244" spans="2:33" ht="15.75" customHeight="1" x14ac:dyDescent="0.3">
      <c r="B244" s="59"/>
      <c r="C244" s="65"/>
      <c r="D244" s="180"/>
      <c r="E244" s="181"/>
      <c r="F244" s="198"/>
      <c r="G244" s="183"/>
      <c r="H244" s="198"/>
      <c r="I244" s="184"/>
      <c r="J244" s="185"/>
      <c r="K244" s="186"/>
      <c r="L244" s="187"/>
      <c r="M244" s="200"/>
      <c r="N244" s="185"/>
      <c r="O244" s="189"/>
      <c r="P244" s="190"/>
      <c r="Q244" s="189"/>
      <c r="R244" s="189"/>
      <c r="S244" s="191"/>
      <c r="T244" s="192"/>
      <c r="U244" s="192"/>
      <c r="V244" s="192"/>
      <c r="AA244" s="195"/>
      <c r="AB244" s="195"/>
      <c r="AC244" s="195"/>
      <c r="AD244" s="196"/>
      <c r="AE244" s="196"/>
      <c r="AF244" s="197"/>
      <c r="AG244" s="197"/>
    </row>
    <row r="245" spans="2:33" ht="15.75" customHeight="1" x14ac:dyDescent="0.3">
      <c r="B245" s="59"/>
      <c r="C245" s="65"/>
      <c r="D245" s="180"/>
      <c r="E245" s="181"/>
      <c r="F245" s="198"/>
      <c r="G245" s="183"/>
      <c r="H245" s="198"/>
      <c r="I245" s="184"/>
      <c r="J245" s="185"/>
      <c r="K245" s="186"/>
      <c r="L245" s="187"/>
      <c r="M245" s="200"/>
      <c r="N245" s="185"/>
      <c r="O245" s="189"/>
      <c r="P245" s="190"/>
      <c r="Q245" s="189"/>
      <c r="R245" s="189"/>
      <c r="S245" s="191"/>
      <c r="T245" s="192"/>
      <c r="U245" s="192"/>
      <c r="V245" s="192"/>
      <c r="AA245" s="195"/>
      <c r="AB245" s="195"/>
      <c r="AC245" s="195"/>
      <c r="AD245" s="196"/>
      <c r="AE245" s="196"/>
      <c r="AF245" s="197"/>
      <c r="AG245" s="197"/>
    </row>
    <row r="246" spans="2:33" ht="15.75" customHeight="1" x14ac:dyDescent="0.3">
      <c r="B246" s="59"/>
      <c r="C246" s="65"/>
      <c r="D246" s="180"/>
      <c r="E246" s="181"/>
      <c r="F246" s="198"/>
      <c r="G246" s="183"/>
      <c r="H246" s="198"/>
      <c r="I246" s="184"/>
      <c r="J246" s="185"/>
      <c r="K246" s="186"/>
      <c r="L246" s="187"/>
      <c r="M246" s="200"/>
      <c r="N246" s="185"/>
      <c r="O246" s="189"/>
      <c r="P246" s="190"/>
      <c r="Q246" s="189"/>
      <c r="R246" s="189"/>
      <c r="S246" s="191"/>
      <c r="T246" s="192"/>
      <c r="U246" s="192"/>
      <c r="V246" s="192"/>
      <c r="AA246" s="195"/>
      <c r="AB246" s="195"/>
      <c r="AC246" s="195"/>
      <c r="AD246" s="196"/>
      <c r="AE246" s="196"/>
      <c r="AF246" s="197"/>
      <c r="AG246" s="197"/>
    </row>
    <row r="247" spans="2:33" ht="15.75" customHeight="1" x14ac:dyDescent="0.3">
      <c r="B247" s="59"/>
      <c r="C247" s="65"/>
      <c r="D247" s="180"/>
      <c r="E247" s="181"/>
      <c r="F247" s="198"/>
      <c r="G247" s="183"/>
      <c r="H247" s="198"/>
      <c r="I247" s="184"/>
      <c r="J247" s="185"/>
      <c r="K247" s="186"/>
      <c r="L247" s="187"/>
      <c r="M247" s="200"/>
      <c r="N247" s="185"/>
      <c r="O247" s="189"/>
      <c r="P247" s="190"/>
      <c r="Q247" s="189"/>
      <c r="R247" s="189"/>
      <c r="S247" s="191"/>
      <c r="T247" s="192"/>
      <c r="U247" s="192"/>
      <c r="V247" s="192"/>
      <c r="AA247" s="195"/>
      <c r="AB247" s="195"/>
      <c r="AC247" s="195"/>
      <c r="AD247" s="196"/>
      <c r="AE247" s="196"/>
      <c r="AF247" s="197"/>
      <c r="AG247" s="197"/>
    </row>
    <row r="248" spans="2:33" ht="15.75" customHeight="1" x14ac:dyDescent="0.3">
      <c r="B248" s="59"/>
      <c r="C248" s="65"/>
      <c r="D248" s="180"/>
      <c r="E248" s="181"/>
      <c r="F248" s="198"/>
      <c r="G248" s="183"/>
      <c r="H248" s="198"/>
      <c r="I248" s="184"/>
      <c r="J248" s="185"/>
      <c r="K248" s="186"/>
      <c r="L248" s="187"/>
      <c r="M248" s="200"/>
      <c r="N248" s="185"/>
      <c r="O248" s="189"/>
      <c r="P248" s="190"/>
      <c r="Q248" s="189"/>
      <c r="R248" s="189"/>
      <c r="S248" s="191"/>
      <c r="T248" s="192"/>
      <c r="U248" s="192"/>
      <c r="V248" s="192"/>
      <c r="AA248" s="195"/>
      <c r="AB248" s="195"/>
      <c r="AC248" s="195"/>
      <c r="AD248" s="196"/>
      <c r="AE248" s="196"/>
      <c r="AF248" s="197"/>
      <c r="AG248" s="197"/>
    </row>
    <row r="249" spans="2:33" ht="15.75" customHeight="1" x14ac:dyDescent="0.3">
      <c r="B249" s="59"/>
      <c r="C249" s="65"/>
      <c r="D249" s="180"/>
      <c r="E249" s="181"/>
      <c r="F249" s="198"/>
      <c r="G249" s="183"/>
      <c r="H249" s="198"/>
      <c r="I249" s="184"/>
      <c r="J249" s="185"/>
      <c r="K249" s="186"/>
      <c r="L249" s="187"/>
      <c r="M249" s="200"/>
      <c r="N249" s="185"/>
      <c r="O249" s="189"/>
      <c r="P249" s="190"/>
      <c r="Q249" s="189"/>
      <c r="R249" s="189"/>
      <c r="S249" s="191"/>
      <c r="T249" s="192"/>
      <c r="U249" s="192"/>
      <c r="V249" s="192"/>
      <c r="AA249" s="195"/>
      <c r="AB249" s="195"/>
      <c r="AC249" s="195"/>
      <c r="AD249" s="196"/>
      <c r="AE249" s="196"/>
      <c r="AF249" s="197"/>
      <c r="AG249" s="197"/>
    </row>
    <row r="250" spans="2:33" ht="15.75" customHeight="1" x14ac:dyDescent="0.3">
      <c r="B250" s="59"/>
      <c r="C250" s="65"/>
      <c r="D250" s="180"/>
      <c r="E250" s="181"/>
      <c r="F250" s="198"/>
      <c r="G250" s="183"/>
      <c r="H250" s="198"/>
      <c r="I250" s="184"/>
      <c r="J250" s="185"/>
      <c r="K250" s="186"/>
      <c r="L250" s="187"/>
      <c r="M250" s="200"/>
      <c r="N250" s="185"/>
      <c r="O250" s="189"/>
      <c r="P250" s="190"/>
      <c r="Q250" s="189"/>
      <c r="R250" s="189"/>
      <c r="S250" s="191"/>
      <c r="T250" s="192"/>
      <c r="U250" s="192"/>
      <c r="V250" s="192"/>
      <c r="AA250" s="195"/>
      <c r="AB250" s="195"/>
      <c r="AC250" s="195"/>
      <c r="AD250" s="196"/>
      <c r="AE250" s="196"/>
      <c r="AF250" s="197"/>
      <c r="AG250" s="197"/>
    </row>
    <row r="251" spans="2:33" ht="15.75" customHeight="1" x14ac:dyDescent="0.3">
      <c r="B251" s="59"/>
      <c r="C251" s="65"/>
      <c r="D251" s="180"/>
      <c r="E251" s="181"/>
      <c r="F251" s="198"/>
      <c r="G251" s="183"/>
      <c r="H251" s="198"/>
      <c r="I251" s="184"/>
      <c r="J251" s="185"/>
      <c r="K251" s="186"/>
      <c r="L251" s="187"/>
      <c r="M251" s="200"/>
      <c r="N251" s="185"/>
      <c r="O251" s="189"/>
      <c r="P251" s="190"/>
      <c r="Q251" s="189"/>
      <c r="R251" s="189"/>
      <c r="S251" s="191"/>
      <c r="T251" s="192"/>
      <c r="U251" s="192"/>
      <c r="V251" s="192"/>
      <c r="AA251" s="195"/>
      <c r="AB251" s="195"/>
      <c r="AC251" s="195"/>
      <c r="AD251" s="196"/>
      <c r="AE251" s="196"/>
      <c r="AF251" s="197"/>
      <c r="AG251" s="197"/>
    </row>
    <row r="252" spans="2:33" ht="15.75" customHeight="1" x14ac:dyDescent="0.3">
      <c r="B252" s="60"/>
      <c r="D252" s="203"/>
      <c r="G252" s="204"/>
      <c r="L252" s="206"/>
    </row>
    <row r="253" spans="2:33" ht="15.75" customHeight="1" x14ac:dyDescent="0.3">
      <c r="B253" s="60"/>
      <c r="D253" s="203"/>
      <c r="G253" s="204"/>
      <c r="L253" s="206"/>
    </row>
    <row r="254" spans="2:33" ht="15.75" customHeight="1" x14ac:dyDescent="0.3">
      <c r="B254" s="60"/>
      <c r="D254" s="203"/>
      <c r="G254" s="204"/>
      <c r="L254" s="206"/>
    </row>
    <row r="255" spans="2:33" ht="15.75" customHeight="1" x14ac:dyDescent="0.3">
      <c r="B255" s="60"/>
      <c r="D255" s="203"/>
      <c r="G255" s="204"/>
      <c r="L255" s="206"/>
    </row>
    <row r="256" spans="2:33" ht="15.75" customHeight="1" x14ac:dyDescent="0.3">
      <c r="B256" s="60"/>
      <c r="D256" s="203"/>
      <c r="G256" s="204"/>
      <c r="L256" s="206"/>
    </row>
    <row r="257" spans="2:12" ht="15.75" customHeight="1" x14ac:dyDescent="0.3">
      <c r="B257" s="60"/>
      <c r="D257" s="203"/>
      <c r="G257" s="204"/>
      <c r="L257" s="206"/>
    </row>
    <row r="258" spans="2:12" ht="15.75" customHeight="1" x14ac:dyDescent="0.3">
      <c r="B258" s="60"/>
      <c r="D258" s="203"/>
      <c r="G258" s="204"/>
      <c r="L258" s="206"/>
    </row>
    <row r="259" spans="2:12" ht="15.75" customHeight="1" x14ac:dyDescent="0.3">
      <c r="B259" s="60"/>
      <c r="D259" s="203"/>
      <c r="G259" s="204"/>
      <c r="L259" s="206"/>
    </row>
    <row r="260" spans="2:12" ht="15.75" customHeight="1" x14ac:dyDescent="0.3">
      <c r="B260" s="60"/>
      <c r="D260" s="203"/>
      <c r="G260" s="204"/>
      <c r="L260" s="206"/>
    </row>
    <row r="261" spans="2:12" ht="15.75" customHeight="1" x14ac:dyDescent="0.3">
      <c r="B261" s="60"/>
      <c r="D261" s="203"/>
      <c r="G261" s="204"/>
      <c r="L261" s="206"/>
    </row>
    <row r="262" spans="2:12" ht="15.75" customHeight="1" x14ac:dyDescent="0.3">
      <c r="B262" s="60"/>
      <c r="D262" s="203"/>
      <c r="G262" s="204"/>
      <c r="L262" s="206"/>
    </row>
    <row r="263" spans="2:12" ht="15.75" customHeight="1" x14ac:dyDescent="0.3">
      <c r="B263" s="60"/>
      <c r="D263" s="203"/>
      <c r="G263" s="204"/>
      <c r="L263" s="206"/>
    </row>
    <row r="264" spans="2:12" ht="15.75" customHeight="1" x14ac:dyDescent="0.3">
      <c r="B264" s="60"/>
      <c r="D264" s="203"/>
      <c r="G264" s="204"/>
      <c r="L264" s="206"/>
    </row>
    <row r="265" spans="2:12" ht="15.75" customHeight="1" x14ac:dyDescent="0.3">
      <c r="B265" s="60"/>
      <c r="D265" s="203"/>
      <c r="G265" s="204"/>
      <c r="L265" s="206"/>
    </row>
    <row r="266" spans="2:12" ht="15.75" customHeight="1" x14ac:dyDescent="0.3">
      <c r="B266" s="60"/>
      <c r="D266" s="203"/>
      <c r="G266" s="204"/>
      <c r="L266" s="206"/>
    </row>
    <row r="267" spans="2:12" ht="15.75" customHeight="1" x14ac:dyDescent="0.3">
      <c r="B267" s="60"/>
      <c r="D267" s="203"/>
      <c r="G267" s="204"/>
      <c r="L267" s="206"/>
    </row>
    <row r="268" spans="2:12" ht="15.75" customHeight="1" x14ac:dyDescent="0.3">
      <c r="B268" s="60"/>
      <c r="D268" s="203"/>
      <c r="G268" s="204"/>
      <c r="L268" s="206"/>
    </row>
    <row r="269" spans="2:12" ht="15.75" customHeight="1" x14ac:dyDescent="0.3">
      <c r="B269" s="60"/>
      <c r="D269" s="203"/>
      <c r="G269" s="204"/>
      <c r="L269" s="206"/>
    </row>
    <row r="270" spans="2:12" ht="15.75" customHeight="1" x14ac:dyDescent="0.3">
      <c r="B270" s="60"/>
      <c r="D270" s="203"/>
      <c r="G270" s="204"/>
      <c r="L270" s="206"/>
    </row>
    <row r="271" spans="2:12" ht="15.75" customHeight="1" x14ac:dyDescent="0.3">
      <c r="B271" s="60"/>
      <c r="D271" s="203"/>
      <c r="G271" s="204"/>
      <c r="L271" s="206"/>
    </row>
    <row r="272" spans="2:12" ht="15.75" customHeight="1" x14ac:dyDescent="0.3">
      <c r="B272" s="60"/>
      <c r="D272" s="203"/>
      <c r="G272" s="204"/>
      <c r="L272" s="206"/>
    </row>
    <row r="273" spans="2:12" ht="15.75" customHeight="1" x14ac:dyDescent="0.3">
      <c r="B273" s="60"/>
      <c r="D273" s="203"/>
      <c r="G273" s="204"/>
      <c r="L273" s="206"/>
    </row>
    <row r="274" spans="2:12" ht="15.75" customHeight="1" x14ac:dyDescent="0.3">
      <c r="B274" s="60"/>
      <c r="D274" s="203"/>
      <c r="G274" s="204"/>
      <c r="L274" s="206"/>
    </row>
    <row r="275" spans="2:12" ht="15.75" customHeight="1" x14ac:dyDescent="0.3">
      <c r="B275" s="60"/>
      <c r="D275" s="203"/>
      <c r="G275" s="204"/>
      <c r="L275" s="206"/>
    </row>
    <row r="276" spans="2:12" ht="15.75" customHeight="1" x14ac:dyDescent="0.3">
      <c r="B276" s="60"/>
      <c r="D276" s="203"/>
      <c r="G276" s="204"/>
      <c r="L276" s="206"/>
    </row>
    <row r="277" spans="2:12" ht="15.75" customHeight="1" x14ac:dyDescent="0.3">
      <c r="B277" s="60"/>
      <c r="D277" s="203"/>
      <c r="G277" s="204"/>
      <c r="L277" s="206"/>
    </row>
    <row r="278" spans="2:12" ht="15.75" customHeight="1" x14ac:dyDescent="0.3">
      <c r="B278" s="60"/>
      <c r="D278" s="203"/>
      <c r="G278" s="204"/>
      <c r="L278" s="206"/>
    </row>
    <row r="279" spans="2:12" ht="15.75" customHeight="1" x14ac:dyDescent="0.3">
      <c r="B279" s="60"/>
      <c r="D279" s="203"/>
      <c r="G279" s="204"/>
      <c r="L279" s="206"/>
    </row>
    <row r="280" spans="2:12" ht="15.75" customHeight="1" x14ac:dyDescent="0.3">
      <c r="B280" s="60"/>
      <c r="D280" s="203"/>
      <c r="G280" s="204"/>
      <c r="L280" s="206"/>
    </row>
    <row r="281" spans="2:12" ht="15.75" customHeight="1" x14ac:dyDescent="0.3">
      <c r="B281" s="60"/>
      <c r="D281" s="203"/>
      <c r="G281" s="204"/>
      <c r="L281" s="206"/>
    </row>
    <row r="282" spans="2:12" ht="15.75" customHeight="1" x14ac:dyDescent="0.3">
      <c r="B282" s="60"/>
      <c r="D282" s="203"/>
      <c r="G282" s="204"/>
      <c r="L282" s="206"/>
    </row>
    <row r="283" spans="2:12" ht="15.75" customHeight="1" x14ac:dyDescent="0.3">
      <c r="B283" s="60"/>
      <c r="D283" s="203"/>
      <c r="G283" s="204"/>
      <c r="L283" s="206"/>
    </row>
    <row r="284" spans="2:12" ht="15.75" customHeight="1" x14ac:dyDescent="0.3">
      <c r="B284" s="60"/>
      <c r="D284" s="203"/>
      <c r="G284" s="204"/>
      <c r="L284" s="206"/>
    </row>
    <row r="285" spans="2:12" ht="15.75" customHeight="1" x14ac:dyDescent="0.3">
      <c r="B285" s="60"/>
      <c r="D285" s="203"/>
      <c r="G285" s="204"/>
      <c r="L285" s="206"/>
    </row>
    <row r="286" spans="2:12" ht="15.75" customHeight="1" x14ac:dyDescent="0.3">
      <c r="B286" s="60"/>
      <c r="D286" s="203"/>
      <c r="G286" s="204"/>
      <c r="L286" s="206"/>
    </row>
    <row r="287" spans="2:12" ht="15.75" customHeight="1" x14ac:dyDescent="0.3">
      <c r="B287" s="60"/>
      <c r="D287" s="203"/>
      <c r="G287" s="204"/>
      <c r="L287" s="206"/>
    </row>
    <row r="288" spans="2:12" ht="15.75" customHeight="1" x14ac:dyDescent="0.3">
      <c r="B288" s="60"/>
      <c r="D288" s="203"/>
      <c r="G288" s="204"/>
      <c r="L288" s="206"/>
    </row>
    <row r="289" spans="2:12" ht="15.75" customHeight="1" x14ac:dyDescent="0.3">
      <c r="B289" s="60"/>
      <c r="D289" s="203"/>
      <c r="G289" s="204"/>
      <c r="L289" s="206"/>
    </row>
    <row r="290" spans="2:12" ht="15.75" customHeight="1" x14ac:dyDescent="0.3">
      <c r="B290" s="60"/>
      <c r="D290" s="203"/>
      <c r="G290" s="204"/>
      <c r="L290" s="206"/>
    </row>
    <row r="291" spans="2:12" ht="15.75" customHeight="1" x14ac:dyDescent="0.3">
      <c r="B291" s="60"/>
      <c r="D291" s="203"/>
      <c r="G291" s="204"/>
      <c r="L291" s="206"/>
    </row>
    <row r="292" spans="2:12" ht="15.75" customHeight="1" x14ac:dyDescent="0.3">
      <c r="B292" s="60"/>
      <c r="D292" s="203"/>
      <c r="G292" s="204"/>
      <c r="L292" s="206"/>
    </row>
    <row r="293" spans="2:12" ht="15.75" customHeight="1" x14ac:dyDescent="0.3">
      <c r="B293" s="60"/>
      <c r="D293" s="203"/>
      <c r="G293" s="204"/>
      <c r="L293" s="206"/>
    </row>
    <row r="294" spans="2:12" ht="15.75" customHeight="1" x14ac:dyDescent="0.3">
      <c r="B294" s="60"/>
      <c r="D294" s="203"/>
      <c r="G294" s="204"/>
      <c r="L294" s="206"/>
    </row>
    <row r="295" spans="2:12" ht="15.75" customHeight="1" x14ac:dyDescent="0.3">
      <c r="B295" s="60"/>
      <c r="D295" s="203"/>
      <c r="G295" s="204"/>
      <c r="L295" s="206"/>
    </row>
    <row r="296" spans="2:12" ht="15.75" customHeight="1" x14ac:dyDescent="0.3">
      <c r="B296" s="60"/>
      <c r="D296" s="203"/>
      <c r="G296" s="204"/>
      <c r="L296" s="206"/>
    </row>
    <row r="297" spans="2:12" ht="15.75" customHeight="1" x14ac:dyDescent="0.3">
      <c r="B297" s="60"/>
      <c r="D297" s="203"/>
      <c r="G297" s="204"/>
      <c r="L297" s="206"/>
    </row>
    <row r="298" spans="2:12" ht="15.75" customHeight="1" x14ac:dyDescent="0.3">
      <c r="B298" s="60"/>
      <c r="D298" s="203"/>
      <c r="G298" s="204"/>
      <c r="L298" s="206"/>
    </row>
    <row r="299" spans="2:12" ht="15.75" customHeight="1" x14ac:dyDescent="0.3">
      <c r="B299" s="60"/>
      <c r="D299" s="203"/>
      <c r="G299" s="204"/>
      <c r="L299" s="206"/>
    </row>
    <row r="300" spans="2:12" ht="15.75" customHeight="1" x14ac:dyDescent="0.3">
      <c r="B300" s="60"/>
      <c r="D300" s="203"/>
      <c r="G300" s="204"/>
      <c r="L300" s="206"/>
    </row>
    <row r="301" spans="2:12" ht="15.75" customHeight="1" x14ac:dyDescent="0.3">
      <c r="B301" s="60"/>
      <c r="D301" s="203"/>
      <c r="G301" s="204"/>
      <c r="L301" s="206"/>
    </row>
    <row r="302" spans="2:12" ht="15.75" customHeight="1" x14ac:dyDescent="0.3">
      <c r="B302" s="60"/>
      <c r="D302" s="203"/>
      <c r="G302" s="204"/>
      <c r="L302" s="206"/>
    </row>
    <row r="303" spans="2:12" ht="15.75" customHeight="1" x14ac:dyDescent="0.3">
      <c r="B303" s="60"/>
      <c r="D303" s="203"/>
      <c r="G303" s="204"/>
      <c r="L303" s="206"/>
    </row>
    <row r="304" spans="2:12" ht="15.75" customHeight="1" x14ac:dyDescent="0.3">
      <c r="B304" s="60"/>
      <c r="D304" s="203"/>
      <c r="G304" s="204"/>
      <c r="L304" s="206"/>
    </row>
    <row r="305" spans="2:12" ht="15.75" customHeight="1" x14ac:dyDescent="0.3">
      <c r="B305" s="60"/>
      <c r="D305" s="203"/>
      <c r="G305" s="204"/>
      <c r="L305" s="206"/>
    </row>
    <row r="306" spans="2:12" ht="15.75" customHeight="1" x14ac:dyDescent="0.3">
      <c r="B306" s="60"/>
      <c r="D306" s="203"/>
      <c r="G306" s="204"/>
      <c r="L306" s="206"/>
    </row>
    <row r="307" spans="2:12" ht="15.75" customHeight="1" x14ac:dyDescent="0.3">
      <c r="B307" s="60"/>
      <c r="D307" s="203"/>
      <c r="G307" s="204"/>
      <c r="L307" s="206"/>
    </row>
    <row r="308" spans="2:12" ht="15.75" customHeight="1" x14ac:dyDescent="0.3">
      <c r="B308" s="60"/>
      <c r="D308" s="203"/>
      <c r="G308" s="204"/>
      <c r="L308" s="206"/>
    </row>
    <row r="309" spans="2:12" ht="15.75" customHeight="1" x14ac:dyDescent="0.3">
      <c r="B309" s="60"/>
      <c r="D309" s="203"/>
      <c r="G309" s="204"/>
      <c r="L309" s="206"/>
    </row>
    <row r="310" spans="2:12" ht="15.75" customHeight="1" x14ac:dyDescent="0.3">
      <c r="B310" s="60"/>
      <c r="D310" s="203"/>
      <c r="G310" s="204"/>
      <c r="L310" s="206"/>
    </row>
    <row r="311" spans="2:12" ht="15.75" customHeight="1" x14ac:dyDescent="0.3">
      <c r="B311" s="60"/>
      <c r="D311" s="203"/>
      <c r="G311" s="204"/>
      <c r="L311" s="206"/>
    </row>
    <row r="312" spans="2:12" ht="15.75" customHeight="1" x14ac:dyDescent="0.3">
      <c r="B312" s="60"/>
      <c r="D312" s="203"/>
      <c r="G312" s="204"/>
      <c r="L312" s="206"/>
    </row>
    <row r="313" spans="2:12" ht="15.75" customHeight="1" x14ac:dyDescent="0.3">
      <c r="B313" s="60"/>
      <c r="D313" s="203"/>
      <c r="G313" s="204"/>
      <c r="L313" s="206"/>
    </row>
    <row r="314" spans="2:12" ht="15.75" customHeight="1" x14ac:dyDescent="0.3">
      <c r="B314" s="60"/>
      <c r="D314" s="203"/>
      <c r="G314" s="204"/>
      <c r="L314" s="206"/>
    </row>
    <row r="315" spans="2:12" ht="15.75" customHeight="1" x14ac:dyDescent="0.3">
      <c r="B315" s="60"/>
      <c r="D315" s="203"/>
      <c r="G315" s="204"/>
      <c r="L315" s="206"/>
    </row>
    <row r="316" spans="2:12" ht="15.75" customHeight="1" x14ac:dyDescent="0.3">
      <c r="B316" s="60"/>
      <c r="D316" s="203"/>
      <c r="G316" s="204"/>
      <c r="L316" s="206"/>
    </row>
    <row r="317" spans="2:12" ht="15.75" customHeight="1" x14ac:dyDescent="0.3">
      <c r="B317" s="60"/>
      <c r="D317" s="203"/>
      <c r="G317" s="204"/>
      <c r="L317" s="206"/>
    </row>
    <row r="318" spans="2:12" ht="15.75" customHeight="1" x14ac:dyDescent="0.3">
      <c r="B318" s="60"/>
      <c r="D318" s="203"/>
      <c r="G318" s="204"/>
      <c r="L318" s="206"/>
    </row>
    <row r="319" spans="2:12" ht="15.75" customHeight="1" x14ac:dyDescent="0.3">
      <c r="B319" s="60"/>
      <c r="D319" s="203"/>
      <c r="G319" s="204"/>
      <c r="L319" s="206"/>
    </row>
    <row r="320" spans="2:12" ht="15.75" customHeight="1" x14ac:dyDescent="0.3">
      <c r="B320" s="60"/>
      <c r="D320" s="203"/>
      <c r="G320" s="204"/>
      <c r="L320" s="206"/>
    </row>
    <row r="321" spans="2:12" ht="15.75" customHeight="1" x14ac:dyDescent="0.3">
      <c r="B321" s="60"/>
      <c r="D321" s="203"/>
      <c r="G321" s="204"/>
      <c r="L321" s="206"/>
    </row>
    <row r="322" spans="2:12" ht="15.75" customHeight="1" x14ac:dyDescent="0.3">
      <c r="B322" s="60"/>
      <c r="D322" s="203"/>
      <c r="G322" s="204"/>
      <c r="L322" s="206"/>
    </row>
    <row r="323" spans="2:12" ht="15.75" customHeight="1" x14ac:dyDescent="0.3">
      <c r="B323" s="60"/>
      <c r="D323" s="203"/>
      <c r="G323" s="204"/>
      <c r="L323" s="206"/>
    </row>
    <row r="324" spans="2:12" ht="15.75" customHeight="1" x14ac:dyDescent="0.3">
      <c r="B324" s="60"/>
      <c r="D324" s="203"/>
      <c r="G324" s="204"/>
      <c r="L324" s="206"/>
    </row>
    <row r="325" spans="2:12" ht="15.75" customHeight="1" x14ac:dyDescent="0.3">
      <c r="B325" s="60"/>
      <c r="D325" s="203"/>
      <c r="G325" s="204"/>
      <c r="L325" s="206"/>
    </row>
    <row r="326" spans="2:12" ht="15.75" customHeight="1" x14ac:dyDescent="0.3">
      <c r="B326" s="60"/>
      <c r="D326" s="203"/>
      <c r="G326" s="204"/>
      <c r="L326" s="206"/>
    </row>
    <row r="327" spans="2:12" ht="15.75" customHeight="1" x14ac:dyDescent="0.3">
      <c r="B327" s="60"/>
      <c r="D327" s="203"/>
      <c r="G327" s="204"/>
      <c r="L327" s="206"/>
    </row>
    <row r="328" spans="2:12" ht="15.75" customHeight="1" x14ac:dyDescent="0.3">
      <c r="B328" s="60"/>
      <c r="D328" s="203"/>
      <c r="G328" s="204"/>
      <c r="L328" s="206"/>
    </row>
    <row r="329" spans="2:12" ht="15.75" customHeight="1" x14ac:dyDescent="0.3">
      <c r="B329" s="60"/>
      <c r="D329" s="203"/>
      <c r="G329" s="204"/>
      <c r="L329" s="206"/>
    </row>
    <row r="330" spans="2:12" ht="15.75" customHeight="1" x14ac:dyDescent="0.3">
      <c r="B330" s="60"/>
      <c r="D330" s="203"/>
      <c r="G330" s="204"/>
      <c r="L330" s="206"/>
    </row>
    <row r="331" spans="2:12" ht="15.75" customHeight="1" x14ac:dyDescent="0.3">
      <c r="B331" s="60"/>
      <c r="D331" s="203"/>
      <c r="G331" s="204"/>
      <c r="L331" s="206"/>
    </row>
    <row r="332" spans="2:12" ht="15.75" customHeight="1" x14ac:dyDescent="0.3">
      <c r="B332" s="60"/>
      <c r="D332" s="203"/>
      <c r="G332" s="204"/>
      <c r="L332" s="206"/>
    </row>
    <row r="333" spans="2:12" ht="15.75" customHeight="1" x14ac:dyDescent="0.3">
      <c r="B333" s="60"/>
      <c r="D333" s="203"/>
      <c r="G333" s="204"/>
      <c r="L333" s="206"/>
    </row>
    <row r="334" spans="2:12" ht="15.75" customHeight="1" x14ac:dyDescent="0.3">
      <c r="B334" s="60"/>
      <c r="D334" s="203"/>
      <c r="G334" s="204"/>
      <c r="L334" s="206"/>
    </row>
    <row r="335" spans="2:12" ht="15.75" customHeight="1" x14ac:dyDescent="0.3">
      <c r="B335" s="60"/>
      <c r="D335" s="203"/>
      <c r="G335" s="204"/>
      <c r="L335" s="206"/>
    </row>
    <row r="336" spans="2:12" ht="15.75" customHeight="1" x14ac:dyDescent="0.3">
      <c r="B336" s="60"/>
      <c r="D336" s="203"/>
      <c r="G336" s="204"/>
      <c r="L336" s="206"/>
    </row>
    <row r="337" spans="2:12" ht="15.75" customHeight="1" x14ac:dyDescent="0.3">
      <c r="B337" s="60"/>
      <c r="D337" s="203"/>
      <c r="G337" s="204"/>
      <c r="L337" s="206"/>
    </row>
    <row r="338" spans="2:12" ht="15.75" customHeight="1" x14ac:dyDescent="0.3">
      <c r="B338" s="60"/>
      <c r="D338" s="203"/>
      <c r="G338" s="204"/>
      <c r="L338" s="206"/>
    </row>
    <row r="339" spans="2:12" ht="15.75" customHeight="1" x14ac:dyDescent="0.3">
      <c r="B339" s="60"/>
      <c r="D339" s="203"/>
      <c r="G339" s="204"/>
      <c r="L339" s="206"/>
    </row>
    <row r="340" spans="2:12" ht="15.75" customHeight="1" x14ac:dyDescent="0.3">
      <c r="B340" s="60"/>
      <c r="D340" s="203"/>
      <c r="G340" s="204"/>
      <c r="L340" s="206"/>
    </row>
    <row r="341" spans="2:12" ht="15.75" customHeight="1" x14ac:dyDescent="0.3">
      <c r="B341" s="60"/>
      <c r="D341" s="203"/>
      <c r="G341" s="204"/>
      <c r="L341" s="206"/>
    </row>
    <row r="342" spans="2:12" ht="15.75" customHeight="1" x14ac:dyDescent="0.3">
      <c r="B342" s="60"/>
      <c r="D342" s="203"/>
      <c r="G342" s="204"/>
      <c r="L342" s="206"/>
    </row>
    <row r="343" spans="2:12" ht="15.75" customHeight="1" x14ac:dyDescent="0.3">
      <c r="B343" s="60"/>
      <c r="D343" s="203"/>
      <c r="G343" s="204"/>
      <c r="L343" s="206"/>
    </row>
    <row r="344" spans="2:12" ht="15.75" customHeight="1" x14ac:dyDescent="0.3">
      <c r="B344" s="60"/>
      <c r="D344" s="203"/>
      <c r="G344" s="204"/>
      <c r="L344" s="206"/>
    </row>
    <row r="345" spans="2:12" ht="15.75" customHeight="1" x14ac:dyDescent="0.3">
      <c r="B345" s="60"/>
      <c r="D345" s="203"/>
      <c r="G345" s="204"/>
      <c r="L345" s="206"/>
    </row>
    <row r="346" spans="2:12" ht="15.75" customHeight="1" x14ac:dyDescent="0.3">
      <c r="B346" s="60"/>
      <c r="D346" s="203"/>
      <c r="G346" s="204"/>
      <c r="L346" s="206"/>
    </row>
    <row r="347" spans="2:12" ht="15.75" customHeight="1" x14ac:dyDescent="0.3">
      <c r="B347" s="60"/>
      <c r="D347" s="203"/>
      <c r="G347" s="204"/>
      <c r="L347" s="206"/>
    </row>
    <row r="348" spans="2:12" ht="15.75" customHeight="1" x14ac:dyDescent="0.3">
      <c r="B348" s="60"/>
      <c r="D348" s="203"/>
      <c r="G348" s="204"/>
      <c r="L348" s="206"/>
    </row>
    <row r="349" spans="2:12" ht="15.75" customHeight="1" x14ac:dyDescent="0.3">
      <c r="B349" s="60"/>
      <c r="D349" s="203"/>
      <c r="G349" s="204"/>
      <c r="L349" s="206"/>
    </row>
    <row r="350" spans="2:12" ht="15.75" customHeight="1" x14ac:dyDescent="0.3">
      <c r="B350" s="60"/>
      <c r="D350" s="203"/>
      <c r="G350" s="204"/>
      <c r="L350" s="206"/>
    </row>
    <row r="351" spans="2:12" ht="15.75" customHeight="1" x14ac:dyDescent="0.3">
      <c r="B351" s="60"/>
      <c r="D351" s="203"/>
      <c r="G351" s="204"/>
      <c r="L351" s="206"/>
    </row>
    <row r="352" spans="2:12" ht="15.75" customHeight="1" x14ac:dyDescent="0.3">
      <c r="B352" s="60"/>
      <c r="D352" s="203"/>
      <c r="G352" s="204"/>
      <c r="L352" s="206"/>
    </row>
    <row r="353" spans="2:12" ht="15.75" customHeight="1" x14ac:dyDescent="0.3">
      <c r="B353" s="60"/>
      <c r="D353" s="203"/>
      <c r="G353" s="204"/>
      <c r="L353" s="206"/>
    </row>
    <row r="354" spans="2:12" ht="15.75" customHeight="1" x14ac:dyDescent="0.3">
      <c r="B354" s="60"/>
      <c r="D354" s="203"/>
      <c r="G354" s="204"/>
      <c r="L354" s="206"/>
    </row>
    <row r="355" spans="2:12" ht="15.75" customHeight="1" x14ac:dyDescent="0.3">
      <c r="B355" s="60"/>
      <c r="D355" s="203"/>
      <c r="G355" s="204"/>
      <c r="L355" s="206"/>
    </row>
    <row r="356" spans="2:12" ht="15.75" customHeight="1" x14ac:dyDescent="0.3">
      <c r="B356" s="60"/>
      <c r="D356" s="203"/>
      <c r="G356" s="204"/>
      <c r="L356" s="206"/>
    </row>
    <row r="357" spans="2:12" ht="15.75" customHeight="1" x14ac:dyDescent="0.3">
      <c r="B357" s="60"/>
      <c r="D357" s="203"/>
      <c r="G357" s="204"/>
      <c r="L357" s="206"/>
    </row>
    <row r="358" spans="2:12" ht="15.75" customHeight="1" x14ac:dyDescent="0.3">
      <c r="B358" s="60"/>
      <c r="D358" s="203"/>
      <c r="G358" s="204"/>
      <c r="L358" s="206"/>
    </row>
    <row r="359" spans="2:12" ht="15.75" customHeight="1" x14ac:dyDescent="0.3">
      <c r="B359" s="60"/>
      <c r="D359" s="203"/>
      <c r="G359" s="204"/>
      <c r="L359" s="206"/>
    </row>
    <row r="360" spans="2:12" ht="15.75" customHeight="1" x14ac:dyDescent="0.3">
      <c r="B360" s="60"/>
      <c r="D360" s="203"/>
      <c r="G360" s="204"/>
      <c r="L360" s="206"/>
    </row>
    <row r="361" spans="2:12" ht="15.75" customHeight="1" x14ac:dyDescent="0.3">
      <c r="B361" s="60"/>
      <c r="D361" s="203"/>
      <c r="G361" s="204"/>
      <c r="L361" s="206"/>
    </row>
    <row r="362" spans="2:12" ht="15.75" customHeight="1" x14ac:dyDescent="0.3">
      <c r="B362" s="60"/>
      <c r="D362" s="203"/>
      <c r="G362" s="204"/>
      <c r="L362" s="206"/>
    </row>
    <row r="363" spans="2:12" ht="15.75" customHeight="1" x14ac:dyDescent="0.3">
      <c r="B363" s="60"/>
      <c r="D363" s="203"/>
      <c r="G363" s="204"/>
      <c r="L363" s="206"/>
    </row>
    <row r="364" spans="2:12" ht="15.75" customHeight="1" x14ac:dyDescent="0.3">
      <c r="B364" s="60"/>
      <c r="D364" s="203"/>
      <c r="G364" s="204"/>
      <c r="L364" s="206"/>
    </row>
    <row r="365" spans="2:12" ht="15.75" customHeight="1" x14ac:dyDescent="0.3">
      <c r="B365" s="60"/>
      <c r="D365" s="203"/>
      <c r="G365" s="204"/>
      <c r="L365" s="206"/>
    </row>
    <row r="366" spans="2:12" ht="15.75" customHeight="1" x14ac:dyDescent="0.3">
      <c r="B366" s="60"/>
      <c r="D366" s="203"/>
      <c r="G366" s="204"/>
      <c r="L366" s="206"/>
    </row>
    <row r="367" spans="2:12" ht="15.75" customHeight="1" x14ac:dyDescent="0.3">
      <c r="B367" s="60"/>
      <c r="D367" s="203"/>
      <c r="G367" s="204"/>
      <c r="L367" s="206"/>
    </row>
    <row r="368" spans="2:12" ht="15.75" customHeight="1" x14ac:dyDescent="0.3">
      <c r="B368" s="60"/>
      <c r="D368" s="203"/>
      <c r="G368" s="204"/>
      <c r="L368" s="206"/>
    </row>
    <row r="369" spans="2:12" ht="15.75" customHeight="1" x14ac:dyDescent="0.3">
      <c r="B369" s="60"/>
      <c r="D369" s="203"/>
      <c r="G369" s="204"/>
      <c r="L369" s="206"/>
    </row>
    <row r="370" spans="2:12" ht="15.75" customHeight="1" x14ac:dyDescent="0.3">
      <c r="B370" s="60"/>
      <c r="D370" s="203"/>
      <c r="G370" s="204"/>
      <c r="L370" s="206"/>
    </row>
    <row r="371" spans="2:12" ht="15.75" customHeight="1" x14ac:dyDescent="0.3">
      <c r="B371" s="60"/>
      <c r="D371" s="203"/>
      <c r="G371" s="204"/>
      <c r="L371" s="206"/>
    </row>
    <row r="372" spans="2:12" ht="15.75" customHeight="1" x14ac:dyDescent="0.3">
      <c r="B372" s="60"/>
      <c r="D372" s="203"/>
      <c r="G372" s="204"/>
      <c r="L372" s="206"/>
    </row>
    <row r="373" spans="2:12" ht="15.75" customHeight="1" x14ac:dyDescent="0.3">
      <c r="B373" s="60"/>
      <c r="D373" s="203"/>
      <c r="G373" s="204"/>
      <c r="L373" s="206"/>
    </row>
    <row r="374" spans="2:12" ht="15.75" customHeight="1" x14ac:dyDescent="0.3">
      <c r="B374" s="60"/>
      <c r="D374" s="203"/>
      <c r="G374" s="204"/>
      <c r="L374" s="206"/>
    </row>
    <row r="375" spans="2:12" ht="15.75" customHeight="1" x14ac:dyDescent="0.3">
      <c r="B375" s="60"/>
      <c r="D375" s="203"/>
      <c r="G375" s="204"/>
      <c r="L375" s="206"/>
    </row>
    <row r="376" spans="2:12" ht="15.75" customHeight="1" x14ac:dyDescent="0.3">
      <c r="B376" s="60"/>
      <c r="D376" s="203"/>
      <c r="G376" s="204"/>
      <c r="L376" s="206"/>
    </row>
    <row r="377" spans="2:12" ht="15.75" customHeight="1" x14ac:dyDescent="0.3">
      <c r="B377" s="60"/>
      <c r="D377" s="203"/>
      <c r="G377" s="204"/>
      <c r="L377" s="206"/>
    </row>
    <row r="378" spans="2:12" ht="15.75" customHeight="1" x14ac:dyDescent="0.3">
      <c r="B378" s="60"/>
      <c r="D378" s="203"/>
      <c r="G378" s="204"/>
      <c r="L378" s="206"/>
    </row>
    <row r="379" spans="2:12" ht="15.75" customHeight="1" x14ac:dyDescent="0.3">
      <c r="B379" s="60"/>
      <c r="D379" s="203"/>
      <c r="G379" s="204"/>
      <c r="L379" s="206"/>
    </row>
    <row r="380" spans="2:12" ht="15.75" customHeight="1" x14ac:dyDescent="0.3">
      <c r="B380" s="60"/>
      <c r="D380" s="203"/>
      <c r="G380" s="204"/>
      <c r="L380" s="206"/>
    </row>
    <row r="381" spans="2:12" ht="15.75" customHeight="1" x14ac:dyDescent="0.3">
      <c r="B381" s="60"/>
      <c r="D381" s="203"/>
      <c r="G381" s="204"/>
      <c r="L381" s="206"/>
    </row>
    <row r="382" spans="2:12" ht="15.75" customHeight="1" x14ac:dyDescent="0.3">
      <c r="B382" s="60"/>
      <c r="D382" s="203"/>
      <c r="G382" s="204"/>
      <c r="L382" s="206"/>
    </row>
    <row r="383" spans="2:12" ht="15.75" customHeight="1" x14ac:dyDescent="0.3">
      <c r="B383" s="60"/>
      <c r="D383" s="203"/>
      <c r="G383" s="204"/>
      <c r="L383" s="206"/>
    </row>
    <row r="384" spans="2:12" ht="15.75" customHeight="1" x14ac:dyDescent="0.3">
      <c r="B384" s="60"/>
      <c r="D384" s="203"/>
      <c r="G384" s="204"/>
      <c r="L384" s="206"/>
    </row>
    <row r="385" spans="2:12" ht="15.75" customHeight="1" x14ac:dyDescent="0.3">
      <c r="B385" s="60"/>
      <c r="D385" s="203"/>
      <c r="G385" s="204"/>
      <c r="L385" s="206"/>
    </row>
    <row r="386" spans="2:12" ht="15.75" customHeight="1" x14ac:dyDescent="0.3">
      <c r="B386" s="60"/>
      <c r="D386" s="203"/>
      <c r="G386" s="204"/>
      <c r="L386" s="206"/>
    </row>
    <row r="387" spans="2:12" ht="15.75" customHeight="1" x14ac:dyDescent="0.3">
      <c r="B387" s="60"/>
      <c r="D387" s="203"/>
      <c r="G387" s="204"/>
      <c r="L387" s="206"/>
    </row>
    <row r="388" spans="2:12" ht="15.75" customHeight="1" x14ac:dyDescent="0.3">
      <c r="B388" s="60"/>
      <c r="D388" s="203"/>
      <c r="G388" s="204"/>
      <c r="L388" s="206"/>
    </row>
    <row r="389" spans="2:12" ht="15.75" customHeight="1" x14ac:dyDescent="0.3">
      <c r="B389" s="60"/>
      <c r="D389" s="203"/>
      <c r="G389" s="204"/>
      <c r="L389" s="206"/>
    </row>
    <row r="390" spans="2:12" ht="15.75" customHeight="1" x14ac:dyDescent="0.3">
      <c r="B390" s="60"/>
      <c r="D390" s="203"/>
      <c r="G390" s="204"/>
      <c r="L390" s="206"/>
    </row>
    <row r="391" spans="2:12" ht="15.75" customHeight="1" x14ac:dyDescent="0.3">
      <c r="B391" s="60"/>
      <c r="D391" s="203"/>
      <c r="G391" s="204"/>
      <c r="L391" s="206"/>
    </row>
    <row r="392" spans="2:12" ht="15.75" customHeight="1" x14ac:dyDescent="0.3">
      <c r="B392" s="60"/>
      <c r="D392" s="203"/>
      <c r="G392" s="204"/>
      <c r="L392" s="206"/>
    </row>
    <row r="393" spans="2:12" ht="15.75" customHeight="1" x14ac:dyDescent="0.3">
      <c r="B393" s="60"/>
      <c r="D393" s="203"/>
      <c r="G393" s="204"/>
      <c r="L393" s="206"/>
    </row>
    <row r="394" spans="2:12" ht="15.75" customHeight="1" x14ac:dyDescent="0.3">
      <c r="B394" s="60"/>
      <c r="D394" s="203"/>
      <c r="G394" s="204"/>
      <c r="L394" s="206"/>
    </row>
    <row r="395" spans="2:12" ht="15.75" customHeight="1" x14ac:dyDescent="0.3">
      <c r="B395" s="60"/>
      <c r="D395" s="203"/>
      <c r="G395" s="204"/>
      <c r="L395" s="206"/>
    </row>
    <row r="396" spans="2:12" ht="15.75" customHeight="1" x14ac:dyDescent="0.3">
      <c r="B396" s="60"/>
      <c r="D396" s="203"/>
      <c r="G396" s="204"/>
      <c r="L396" s="206"/>
    </row>
    <row r="397" spans="2:12" ht="15.75" customHeight="1" x14ac:dyDescent="0.3">
      <c r="B397" s="60"/>
      <c r="D397" s="203"/>
      <c r="G397" s="204"/>
      <c r="L397" s="206"/>
    </row>
    <row r="398" spans="2:12" ht="15.75" customHeight="1" x14ac:dyDescent="0.3">
      <c r="B398" s="60"/>
      <c r="D398" s="203"/>
      <c r="G398" s="204"/>
      <c r="L398" s="206"/>
    </row>
    <row r="399" spans="2:12" ht="15.75" customHeight="1" x14ac:dyDescent="0.3">
      <c r="B399" s="60"/>
      <c r="D399" s="203"/>
      <c r="G399" s="204"/>
      <c r="L399" s="206"/>
    </row>
    <row r="400" spans="2:12" ht="15.75" customHeight="1" x14ac:dyDescent="0.3">
      <c r="B400" s="60"/>
      <c r="D400" s="203"/>
      <c r="G400" s="204"/>
      <c r="L400" s="206"/>
    </row>
    <row r="401" spans="2:12" ht="15.75" customHeight="1" x14ac:dyDescent="0.3">
      <c r="B401" s="60"/>
      <c r="D401" s="203"/>
      <c r="G401" s="204"/>
      <c r="L401" s="206"/>
    </row>
    <row r="402" spans="2:12" ht="15.75" customHeight="1" x14ac:dyDescent="0.3">
      <c r="B402" s="60"/>
      <c r="D402" s="203"/>
      <c r="G402" s="204"/>
      <c r="L402" s="206"/>
    </row>
    <row r="403" spans="2:12" ht="15.75" customHeight="1" x14ac:dyDescent="0.3">
      <c r="B403" s="60"/>
      <c r="D403" s="203"/>
      <c r="G403" s="204"/>
      <c r="L403" s="206"/>
    </row>
    <row r="404" spans="2:12" ht="15.75" customHeight="1" x14ac:dyDescent="0.3">
      <c r="B404" s="60"/>
      <c r="D404" s="203"/>
      <c r="G404" s="204"/>
      <c r="L404" s="206"/>
    </row>
    <row r="405" spans="2:12" ht="15.75" customHeight="1" x14ac:dyDescent="0.3">
      <c r="B405" s="60"/>
      <c r="D405" s="203"/>
      <c r="G405" s="204"/>
      <c r="L405" s="206"/>
    </row>
    <row r="406" spans="2:12" ht="15.75" customHeight="1" x14ac:dyDescent="0.3">
      <c r="B406" s="60"/>
      <c r="D406" s="203"/>
      <c r="G406" s="204"/>
      <c r="L406" s="206"/>
    </row>
    <row r="407" spans="2:12" ht="15.75" customHeight="1" x14ac:dyDescent="0.3">
      <c r="B407" s="60"/>
      <c r="D407" s="203"/>
      <c r="G407" s="204"/>
      <c r="L407" s="206"/>
    </row>
    <row r="408" spans="2:12" ht="15.75" customHeight="1" x14ac:dyDescent="0.3">
      <c r="B408" s="60"/>
      <c r="D408" s="203"/>
      <c r="G408" s="204"/>
      <c r="L408" s="206"/>
    </row>
    <row r="409" spans="2:12" ht="15.75" customHeight="1" x14ac:dyDescent="0.3">
      <c r="B409" s="60"/>
      <c r="D409" s="203"/>
      <c r="G409" s="204"/>
      <c r="L409" s="206"/>
    </row>
    <row r="410" spans="2:12" ht="15.75" customHeight="1" x14ac:dyDescent="0.3">
      <c r="B410" s="60"/>
      <c r="D410" s="203"/>
      <c r="G410" s="204"/>
      <c r="L410" s="206"/>
    </row>
    <row r="411" spans="2:12" ht="15.75" customHeight="1" x14ac:dyDescent="0.3">
      <c r="B411" s="60"/>
      <c r="D411" s="203"/>
      <c r="G411" s="204"/>
      <c r="L411" s="206"/>
    </row>
    <row r="412" spans="2:12" ht="15.75" customHeight="1" x14ac:dyDescent="0.3">
      <c r="B412" s="60"/>
      <c r="D412" s="203"/>
      <c r="G412" s="204"/>
      <c r="L412" s="206"/>
    </row>
    <row r="413" spans="2:12" ht="15.75" customHeight="1" x14ac:dyDescent="0.3">
      <c r="B413" s="60"/>
      <c r="D413" s="203"/>
      <c r="G413" s="204"/>
      <c r="L413" s="206"/>
    </row>
    <row r="414" spans="2:12" ht="15.75" customHeight="1" x14ac:dyDescent="0.3">
      <c r="B414" s="60"/>
      <c r="D414" s="203"/>
      <c r="G414" s="204"/>
      <c r="L414" s="206"/>
    </row>
    <row r="415" spans="2:12" ht="15.75" customHeight="1" x14ac:dyDescent="0.3">
      <c r="B415" s="60"/>
      <c r="D415" s="203"/>
      <c r="G415" s="204"/>
      <c r="L415" s="206"/>
    </row>
    <row r="416" spans="2:12" ht="15.75" customHeight="1" x14ac:dyDescent="0.3">
      <c r="B416" s="60"/>
      <c r="D416" s="203"/>
      <c r="G416" s="204"/>
      <c r="L416" s="206"/>
    </row>
    <row r="417" spans="2:12" ht="15.75" customHeight="1" x14ac:dyDescent="0.3">
      <c r="B417" s="60"/>
      <c r="D417" s="203"/>
      <c r="G417" s="204"/>
      <c r="L417" s="206"/>
    </row>
    <row r="418" spans="2:12" ht="15.75" customHeight="1" x14ac:dyDescent="0.3">
      <c r="B418" s="60"/>
      <c r="D418" s="203"/>
      <c r="G418" s="204"/>
      <c r="L418" s="206"/>
    </row>
    <row r="419" spans="2:12" ht="15.75" customHeight="1" x14ac:dyDescent="0.3">
      <c r="B419" s="60"/>
      <c r="D419" s="203"/>
      <c r="G419" s="204"/>
      <c r="L419" s="206"/>
    </row>
    <row r="420" spans="2:12" ht="15.75" customHeight="1" x14ac:dyDescent="0.3">
      <c r="B420" s="60"/>
      <c r="D420" s="203"/>
      <c r="G420" s="204"/>
      <c r="L420" s="206"/>
    </row>
    <row r="421" spans="2:12" ht="15.75" customHeight="1" x14ac:dyDescent="0.3">
      <c r="B421" s="60"/>
      <c r="D421" s="203"/>
      <c r="G421" s="204"/>
      <c r="L421" s="206"/>
    </row>
    <row r="422" spans="2:12" ht="15.75" customHeight="1" x14ac:dyDescent="0.3">
      <c r="B422" s="60"/>
      <c r="D422" s="203"/>
      <c r="G422" s="204"/>
      <c r="L422" s="206"/>
    </row>
    <row r="423" spans="2:12" ht="15.75" customHeight="1" x14ac:dyDescent="0.3">
      <c r="B423" s="60"/>
      <c r="D423" s="203"/>
      <c r="G423" s="204"/>
      <c r="L423" s="206"/>
    </row>
    <row r="424" spans="2:12" ht="15.75" customHeight="1" x14ac:dyDescent="0.3">
      <c r="B424" s="60"/>
      <c r="D424" s="203"/>
      <c r="G424" s="204"/>
      <c r="L424" s="206"/>
    </row>
    <row r="425" spans="2:12" ht="15.75" customHeight="1" x14ac:dyDescent="0.3">
      <c r="B425" s="60"/>
      <c r="D425" s="203"/>
      <c r="G425" s="204"/>
      <c r="L425" s="206"/>
    </row>
    <row r="426" spans="2:12" ht="15.75" customHeight="1" x14ac:dyDescent="0.3">
      <c r="B426" s="60"/>
      <c r="D426" s="203"/>
      <c r="G426" s="204"/>
      <c r="L426" s="206"/>
    </row>
    <row r="427" spans="2:12" ht="15.75" customHeight="1" x14ac:dyDescent="0.3">
      <c r="B427" s="60"/>
      <c r="D427" s="203"/>
      <c r="G427" s="204"/>
      <c r="L427" s="206"/>
    </row>
    <row r="428" spans="2:12" ht="15.75" customHeight="1" x14ac:dyDescent="0.3">
      <c r="B428" s="60"/>
      <c r="D428" s="203"/>
      <c r="G428" s="204"/>
      <c r="L428" s="206"/>
    </row>
    <row r="429" spans="2:12" ht="15.75" customHeight="1" x14ac:dyDescent="0.3">
      <c r="B429" s="60"/>
      <c r="D429" s="203"/>
      <c r="G429" s="204"/>
      <c r="L429" s="206"/>
    </row>
    <row r="430" spans="2:12" ht="15.75" customHeight="1" x14ac:dyDescent="0.3">
      <c r="B430" s="60"/>
      <c r="D430" s="203"/>
      <c r="G430" s="204"/>
      <c r="L430" s="206"/>
    </row>
    <row r="431" spans="2:12" ht="15.75" customHeight="1" x14ac:dyDescent="0.3">
      <c r="B431" s="60"/>
      <c r="D431" s="203"/>
      <c r="G431" s="204"/>
      <c r="L431" s="206"/>
    </row>
    <row r="432" spans="2:12" ht="15.75" customHeight="1" x14ac:dyDescent="0.3">
      <c r="B432" s="60"/>
      <c r="D432" s="203"/>
      <c r="G432" s="204"/>
      <c r="L432" s="206"/>
    </row>
    <row r="433" spans="2:12" ht="15.75" customHeight="1" x14ac:dyDescent="0.3">
      <c r="B433" s="60"/>
      <c r="D433" s="203"/>
      <c r="G433" s="204"/>
      <c r="L433" s="206"/>
    </row>
    <row r="434" spans="2:12" ht="15.75" customHeight="1" x14ac:dyDescent="0.3">
      <c r="B434" s="60"/>
      <c r="D434" s="203"/>
      <c r="G434" s="204"/>
      <c r="L434" s="206"/>
    </row>
    <row r="435" spans="2:12" ht="15.75" customHeight="1" x14ac:dyDescent="0.3">
      <c r="B435" s="60"/>
      <c r="D435" s="203"/>
      <c r="G435" s="204"/>
      <c r="L435" s="206"/>
    </row>
    <row r="436" spans="2:12" ht="15.75" customHeight="1" x14ac:dyDescent="0.3">
      <c r="B436" s="60"/>
      <c r="D436" s="203"/>
      <c r="G436" s="204"/>
      <c r="L436" s="206"/>
    </row>
    <row r="437" spans="2:12" ht="15.75" customHeight="1" x14ac:dyDescent="0.3">
      <c r="B437" s="60"/>
      <c r="D437" s="203"/>
      <c r="G437" s="204"/>
      <c r="L437" s="206"/>
    </row>
    <row r="438" spans="2:12" ht="15.75" customHeight="1" x14ac:dyDescent="0.3">
      <c r="B438" s="60"/>
      <c r="D438" s="203"/>
      <c r="G438" s="204"/>
      <c r="L438" s="206"/>
    </row>
    <row r="439" spans="2:12" ht="15.75" customHeight="1" x14ac:dyDescent="0.3">
      <c r="B439" s="60"/>
      <c r="D439" s="203"/>
      <c r="G439" s="204"/>
      <c r="L439" s="206"/>
    </row>
    <row r="440" spans="2:12" ht="15.75" customHeight="1" x14ac:dyDescent="0.3">
      <c r="B440" s="60"/>
      <c r="D440" s="203"/>
      <c r="G440" s="204"/>
      <c r="L440" s="206"/>
    </row>
    <row r="441" spans="2:12" ht="15.75" customHeight="1" x14ac:dyDescent="0.3">
      <c r="B441" s="60"/>
      <c r="D441" s="203"/>
      <c r="G441" s="204"/>
      <c r="L441" s="206"/>
    </row>
    <row r="442" spans="2:12" ht="15.75" customHeight="1" x14ac:dyDescent="0.3">
      <c r="B442" s="60"/>
      <c r="D442" s="203"/>
      <c r="G442" s="204"/>
      <c r="L442" s="206"/>
    </row>
    <row r="443" spans="2:12" ht="15.75" customHeight="1" x14ac:dyDescent="0.3">
      <c r="B443" s="60"/>
      <c r="D443" s="203"/>
      <c r="G443" s="204"/>
      <c r="L443" s="206"/>
    </row>
    <row r="444" spans="2:12" ht="15.75" customHeight="1" x14ac:dyDescent="0.3">
      <c r="B444" s="60"/>
      <c r="D444" s="203"/>
      <c r="G444" s="204"/>
      <c r="L444" s="206"/>
    </row>
    <row r="445" spans="2:12" ht="15.75" customHeight="1" x14ac:dyDescent="0.3">
      <c r="B445" s="60"/>
      <c r="D445" s="203"/>
      <c r="G445" s="204"/>
      <c r="L445" s="206"/>
    </row>
    <row r="446" spans="2:12" ht="15.75" customHeight="1" x14ac:dyDescent="0.3">
      <c r="B446" s="60"/>
      <c r="D446" s="203"/>
      <c r="G446" s="204"/>
      <c r="L446" s="206"/>
    </row>
    <row r="447" spans="2:12" ht="15.75" customHeight="1" x14ac:dyDescent="0.3">
      <c r="B447" s="60"/>
      <c r="D447" s="203"/>
      <c r="G447" s="204"/>
      <c r="L447" s="206"/>
    </row>
    <row r="448" spans="2:12" ht="15.75" customHeight="1" x14ac:dyDescent="0.3">
      <c r="B448" s="60"/>
      <c r="D448" s="203"/>
      <c r="G448" s="204"/>
      <c r="L448" s="206"/>
    </row>
    <row r="449" spans="2:12" ht="15.75" customHeight="1" x14ac:dyDescent="0.3">
      <c r="B449" s="60"/>
      <c r="D449" s="203"/>
      <c r="G449" s="204"/>
      <c r="L449" s="206"/>
    </row>
    <row r="450" spans="2:12" ht="15.75" customHeight="1" x14ac:dyDescent="0.3">
      <c r="B450" s="60"/>
      <c r="D450" s="203"/>
      <c r="G450" s="204"/>
      <c r="L450" s="206"/>
    </row>
    <row r="451" spans="2:12" ht="15.75" customHeight="1" x14ac:dyDescent="0.3">
      <c r="B451" s="60"/>
      <c r="D451" s="203"/>
      <c r="G451" s="204"/>
      <c r="L451" s="206"/>
    </row>
    <row r="452" spans="2:12" ht="15.75" customHeight="1" x14ac:dyDescent="0.3">
      <c r="B452" s="60"/>
      <c r="D452" s="203"/>
      <c r="G452" s="204"/>
      <c r="L452" s="206"/>
    </row>
    <row r="453" spans="2:12" ht="15.75" customHeight="1" x14ac:dyDescent="0.3">
      <c r="B453" s="60"/>
      <c r="D453" s="203"/>
      <c r="G453" s="204"/>
      <c r="L453" s="206"/>
    </row>
    <row r="454" spans="2:12" ht="15.75" customHeight="1" x14ac:dyDescent="0.3">
      <c r="B454" s="60"/>
      <c r="D454" s="203"/>
      <c r="G454" s="204"/>
      <c r="L454" s="206"/>
    </row>
    <row r="455" spans="2:12" ht="15.75" customHeight="1" x14ac:dyDescent="0.3">
      <c r="B455" s="60"/>
      <c r="D455" s="203"/>
      <c r="G455" s="204"/>
      <c r="L455" s="206"/>
    </row>
    <row r="456" spans="2:12" ht="15.75" customHeight="1" x14ac:dyDescent="0.3">
      <c r="B456" s="60"/>
      <c r="D456" s="203"/>
      <c r="G456" s="204"/>
      <c r="L456" s="206"/>
    </row>
    <row r="457" spans="2:12" ht="15.75" customHeight="1" x14ac:dyDescent="0.3">
      <c r="B457" s="60"/>
      <c r="D457" s="203"/>
      <c r="G457" s="204"/>
      <c r="L457" s="206"/>
    </row>
    <row r="458" spans="2:12" ht="15.75" customHeight="1" x14ac:dyDescent="0.3">
      <c r="B458" s="60"/>
      <c r="D458" s="203"/>
      <c r="G458" s="204"/>
      <c r="L458" s="206"/>
    </row>
    <row r="459" spans="2:12" ht="15.75" customHeight="1" x14ac:dyDescent="0.3">
      <c r="B459" s="60"/>
      <c r="D459" s="203"/>
      <c r="G459" s="204"/>
      <c r="L459" s="206"/>
    </row>
    <row r="460" spans="2:12" ht="15.75" customHeight="1" x14ac:dyDescent="0.3">
      <c r="B460" s="60"/>
      <c r="D460" s="203"/>
      <c r="G460" s="204"/>
      <c r="L460" s="206"/>
    </row>
    <row r="461" spans="2:12" ht="15.75" customHeight="1" x14ac:dyDescent="0.3">
      <c r="B461" s="60"/>
      <c r="D461" s="203"/>
      <c r="G461" s="204"/>
      <c r="L461" s="206"/>
    </row>
    <row r="462" spans="2:12" ht="15.75" customHeight="1" x14ac:dyDescent="0.3">
      <c r="B462" s="60"/>
      <c r="D462" s="203"/>
      <c r="G462" s="204"/>
      <c r="L462" s="206"/>
    </row>
    <row r="463" spans="2:12" ht="15.75" customHeight="1" x14ac:dyDescent="0.3">
      <c r="B463" s="60"/>
      <c r="D463" s="203"/>
      <c r="G463" s="204"/>
      <c r="L463" s="206"/>
    </row>
    <row r="464" spans="2:12" ht="15.75" customHeight="1" x14ac:dyDescent="0.3">
      <c r="B464" s="60"/>
      <c r="D464" s="203"/>
      <c r="G464" s="204"/>
      <c r="L464" s="206"/>
    </row>
    <row r="465" spans="2:12" ht="15.75" customHeight="1" x14ac:dyDescent="0.3">
      <c r="B465" s="60"/>
      <c r="D465" s="203"/>
      <c r="G465" s="204"/>
      <c r="L465" s="206"/>
    </row>
    <row r="466" spans="2:12" ht="15.75" customHeight="1" x14ac:dyDescent="0.3">
      <c r="B466" s="60"/>
      <c r="D466" s="203"/>
      <c r="G466" s="204"/>
      <c r="L466" s="206"/>
    </row>
    <row r="467" spans="2:12" ht="15.75" customHeight="1" x14ac:dyDescent="0.3">
      <c r="B467" s="60"/>
      <c r="D467" s="203"/>
      <c r="G467" s="204"/>
      <c r="L467" s="206"/>
    </row>
    <row r="468" spans="2:12" ht="15.75" customHeight="1" x14ac:dyDescent="0.3">
      <c r="B468" s="60"/>
      <c r="D468" s="203"/>
      <c r="G468" s="204"/>
      <c r="L468" s="206"/>
    </row>
    <row r="469" spans="2:12" ht="15.75" customHeight="1" x14ac:dyDescent="0.3">
      <c r="B469" s="60"/>
      <c r="D469" s="203"/>
      <c r="G469" s="204"/>
      <c r="L469" s="206"/>
    </row>
    <row r="470" spans="2:12" ht="15.75" customHeight="1" x14ac:dyDescent="0.3">
      <c r="B470" s="60"/>
      <c r="D470" s="203"/>
      <c r="G470" s="204"/>
      <c r="L470" s="206"/>
    </row>
    <row r="471" spans="2:12" ht="15.75" customHeight="1" x14ac:dyDescent="0.3">
      <c r="B471" s="60"/>
      <c r="D471" s="203"/>
      <c r="G471" s="204"/>
      <c r="L471" s="206"/>
    </row>
    <row r="472" spans="2:12" ht="15.75" customHeight="1" x14ac:dyDescent="0.3">
      <c r="B472" s="60"/>
      <c r="D472" s="203"/>
      <c r="G472" s="204"/>
      <c r="L472" s="206"/>
    </row>
    <row r="473" spans="2:12" ht="15.75" customHeight="1" x14ac:dyDescent="0.3">
      <c r="B473" s="60"/>
      <c r="D473" s="203"/>
      <c r="G473" s="204"/>
      <c r="L473" s="206"/>
    </row>
    <row r="474" spans="2:12" ht="15.75" customHeight="1" x14ac:dyDescent="0.3">
      <c r="B474" s="60"/>
      <c r="D474" s="203"/>
      <c r="G474" s="204"/>
      <c r="L474" s="206"/>
    </row>
    <row r="475" spans="2:12" ht="15.75" customHeight="1" x14ac:dyDescent="0.3">
      <c r="B475" s="60"/>
      <c r="D475" s="203"/>
      <c r="G475" s="204"/>
      <c r="L475" s="206"/>
    </row>
    <row r="476" spans="2:12" ht="15.75" customHeight="1" x14ac:dyDescent="0.3">
      <c r="B476" s="60"/>
      <c r="D476" s="203"/>
      <c r="G476" s="204"/>
      <c r="L476" s="206"/>
    </row>
    <row r="477" spans="2:12" ht="15.75" customHeight="1" x14ac:dyDescent="0.3">
      <c r="B477" s="60"/>
      <c r="D477" s="203"/>
      <c r="G477" s="204"/>
      <c r="L477" s="206"/>
    </row>
    <row r="478" spans="2:12" ht="15.75" customHeight="1" x14ac:dyDescent="0.3">
      <c r="B478" s="60"/>
      <c r="D478" s="203"/>
      <c r="G478" s="204"/>
      <c r="L478" s="206"/>
    </row>
    <row r="479" spans="2:12" ht="15.75" customHeight="1" x14ac:dyDescent="0.3">
      <c r="B479" s="60"/>
      <c r="D479" s="203"/>
      <c r="G479" s="204"/>
      <c r="L479" s="206"/>
    </row>
    <row r="480" spans="2:12" ht="15.75" customHeight="1" x14ac:dyDescent="0.3">
      <c r="B480" s="60"/>
      <c r="D480" s="203"/>
      <c r="G480" s="204"/>
      <c r="L480" s="206"/>
    </row>
    <row r="481" spans="2:12" ht="15.75" customHeight="1" x14ac:dyDescent="0.3">
      <c r="B481" s="60"/>
      <c r="D481" s="203"/>
      <c r="G481" s="204"/>
      <c r="L481" s="206"/>
    </row>
    <row r="482" spans="2:12" ht="15.75" customHeight="1" x14ac:dyDescent="0.3">
      <c r="B482" s="60"/>
      <c r="D482" s="203"/>
      <c r="G482" s="204"/>
      <c r="L482" s="206"/>
    </row>
    <row r="483" spans="2:12" ht="15.75" customHeight="1" x14ac:dyDescent="0.3">
      <c r="B483" s="60"/>
      <c r="D483" s="203"/>
      <c r="G483" s="204"/>
      <c r="L483" s="206"/>
    </row>
    <row r="484" spans="2:12" ht="15.75" customHeight="1" x14ac:dyDescent="0.3">
      <c r="B484" s="60"/>
      <c r="D484" s="203"/>
      <c r="G484" s="204"/>
      <c r="L484" s="206"/>
    </row>
    <row r="485" spans="2:12" ht="15.75" customHeight="1" x14ac:dyDescent="0.3">
      <c r="B485" s="60"/>
      <c r="D485" s="203"/>
      <c r="G485" s="204"/>
      <c r="L485" s="206"/>
    </row>
    <row r="486" spans="2:12" ht="15.75" customHeight="1" x14ac:dyDescent="0.3">
      <c r="B486" s="60"/>
      <c r="D486" s="203"/>
      <c r="G486" s="204"/>
      <c r="L486" s="206"/>
    </row>
    <row r="487" spans="2:12" ht="15.75" customHeight="1" x14ac:dyDescent="0.3">
      <c r="B487" s="60"/>
      <c r="D487" s="203"/>
      <c r="G487" s="204"/>
      <c r="L487" s="206"/>
    </row>
    <row r="488" spans="2:12" ht="15.75" customHeight="1" x14ac:dyDescent="0.3">
      <c r="B488" s="60"/>
      <c r="D488" s="203"/>
      <c r="G488" s="204"/>
      <c r="L488" s="206"/>
    </row>
    <row r="489" spans="2:12" ht="15.75" customHeight="1" x14ac:dyDescent="0.3">
      <c r="B489" s="60"/>
      <c r="D489" s="203"/>
      <c r="G489" s="204"/>
      <c r="L489" s="206"/>
    </row>
    <row r="490" spans="2:12" ht="15.75" customHeight="1" x14ac:dyDescent="0.3">
      <c r="B490" s="60"/>
      <c r="D490" s="203"/>
      <c r="G490" s="204"/>
      <c r="L490" s="206"/>
    </row>
    <row r="491" spans="2:12" ht="15.75" customHeight="1" x14ac:dyDescent="0.3">
      <c r="B491" s="60"/>
      <c r="D491" s="203"/>
      <c r="G491" s="204"/>
      <c r="L491" s="206"/>
    </row>
    <row r="492" spans="2:12" ht="15.75" customHeight="1" x14ac:dyDescent="0.3">
      <c r="B492" s="60"/>
      <c r="D492" s="203"/>
      <c r="G492" s="204"/>
      <c r="L492" s="206"/>
    </row>
    <row r="493" spans="2:12" ht="15.75" customHeight="1" x14ac:dyDescent="0.3">
      <c r="B493" s="60"/>
      <c r="D493" s="203"/>
      <c r="G493" s="204"/>
      <c r="L493" s="206"/>
    </row>
    <row r="494" spans="2:12" ht="15.75" customHeight="1" x14ac:dyDescent="0.3">
      <c r="B494" s="60"/>
      <c r="D494" s="203"/>
      <c r="G494" s="204"/>
      <c r="L494" s="206"/>
    </row>
    <row r="495" spans="2:12" ht="15.75" customHeight="1" x14ac:dyDescent="0.3">
      <c r="B495" s="60"/>
      <c r="D495" s="203"/>
      <c r="G495" s="204"/>
      <c r="L495" s="206"/>
    </row>
    <row r="496" spans="2:12" ht="15.75" customHeight="1" x14ac:dyDescent="0.3">
      <c r="B496" s="60"/>
      <c r="D496" s="203"/>
      <c r="G496" s="204"/>
      <c r="L496" s="206"/>
    </row>
    <row r="497" spans="2:12" ht="15.75" customHeight="1" x14ac:dyDescent="0.3">
      <c r="B497" s="60"/>
      <c r="D497" s="203"/>
      <c r="G497" s="204"/>
      <c r="L497" s="206"/>
    </row>
    <row r="498" spans="2:12" ht="15.75" customHeight="1" x14ac:dyDescent="0.3">
      <c r="B498" s="60"/>
      <c r="D498" s="203"/>
      <c r="G498" s="204"/>
      <c r="L498" s="206"/>
    </row>
    <row r="499" spans="2:12" ht="15.75" customHeight="1" x14ac:dyDescent="0.3">
      <c r="B499" s="60"/>
      <c r="D499" s="203"/>
      <c r="G499" s="204"/>
      <c r="L499" s="206"/>
    </row>
    <row r="500" spans="2:12" ht="15.75" customHeight="1" x14ac:dyDescent="0.3">
      <c r="B500" s="60"/>
      <c r="D500" s="203"/>
      <c r="G500" s="204"/>
      <c r="L500" s="206"/>
    </row>
    <row r="501" spans="2:12" ht="15.75" customHeight="1" x14ac:dyDescent="0.3">
      <c r="B501" s="60"/>
      <c r="D501" s="203"/>
      <c r="G501" s="204"/>
      <c r="L501" s="206"/>
    </row>
    <row r="502" spans="2:12" ht="15.75" customHeight="1" x14ac:dyDescent="0.3">
      <c r="B502" s="60"/>
      <c r="D502" s="203"/>
      <c r="G502" s="204"/>
      <c r="L502" s="206"/>
    </row>
    <row r="503" spans="2:12" ht="15.75" customHeight="1" x14ac:dyDescent="0.3">
      <c r="B503" s="60"/>
      <c r="D503" s="203"/>
      <c r="G503" s="204"/>
      <c r="L503" s="206"/>
    </row>
    <row r="504" spans="2:12" ht="15.75" customHeight="1" x14ac:dyDescent="0.3">
      <c r="B504" s="60"/>
      <c r="D504" s="203"/>
      <c r="G504" s="204"/>
      <c r="L504" s="206"/>
    </row>
    <row r="505" spans="2:12" ht="15.75" customHeight="1" x14ac:dyDescent="0.3">
      <c r="B505" s="60"/>
      <c r="D505" s="203"/>
      <c r="G505" s="204"/>
      <c r="L505" s="206"/>
    </row>
    <row r="506" spans="2:12" ht="15.75" customHeight="1" x14ac:dyDescent="0.3">
      <c r="B506" s="60"/>
      <c r="D506" s="203"/>
      <c r="G506" s="204"/>
      <c r="L506" s="206"/>
    </row>
    <row r="507" spans="2:12" ht="15.75" customHeight="1" x14ac:dyDescent="0.3">
      <c r="B507" s="60"/>
      <c r="D507" s="203"/>
      <c r="G507" s="204"/>
      <c r="L507" s="206"/>
    </row>
    <row r="508" spans="2:12" ht="15.75" customHeight="1" x14ac:dyDescent="0.3">
      <c r="B508" s="60"/>
      <c r="D508" s="203"/>
      <c r="G508" s="204"/>
      <c r="L508" s="206"/>
    </row>
    <row r="509" spans="2:12" ht="15.75" customHeight="1" x14ac:dyDescent="0.3">
      <c r="B509" s="60"/>
      <c r="D509" s="203"/>
      <c r="G509" s="204"/>
      <c r="L509" s="206"/>
    </row>
    <row r="510" spans="2:12" ht="15.75" customHeight="1" x14ac:dyDescent="0.3">
      <c r="B510" s="60"/>
      <c r="D510" s="203"/>
      <c r="G510" s="204"/>
      <c r="L510" s="206"/>
    </row>
    <row r="511" spans="2:12" ht="15.75" customHeight="1" x14ac:dyDescent="0.3">
      <c r="B511" s="60"/>
      <c r="D511" s="203"/>
      <c r="G511" s="204"/>
      <c r="L511" s="206"/>
    </row>
    <row r="512" spans="2:12" ht="15.75" customHeight="1" x14ac:dyDescent="0.3">
      <c r="B512" s="60"/>
      <c r="D512" s="203"/>
      <c r="G512" s="204"/>
      <c r="L512" s="206"/>
    </row>
    <row r="513" spans="2:12" ht="15.75" customHeight="1" x14ac:dyDescent="0.3">
      <c r="B513" s="60"/>
      <c r="D513" s="203"/>
      <c r="G513" s="204"/>
      <c r="L513" s="206"/>
    </row>
    <row r="514" spans="2:12" ht="15.75" customHeight="1" x14ac:dyDescent="0.3">
      <c r="B514" s="60"/>
      <c r="D514" s="203"/>
      <c r="G514" s="204"/>
      <c r="L514" s="206"/>
    </row>
    <row r="515" spans="2:12" ht="15.75" customHeight="1" x14ac:dyDescent="0.3">
      <c r="B515" s="60"/>
      <c r="D515" s="203"/>
      <c r="G515" s="204"/>
      <c r="L515" s="206"/>
    </row>
    <row r="516" spans="2:12" ht="15.75" customHeight="1" x14ac:dyDescent="0.3">
      <c r="B516" s="60"/>
      <c r="D516" s="203"/>
      <c r="G516" s="204"/>
      <c r="L516" s="206"/>
    </row>
    <row r="517" spans="2:12" ht="15.75" customHeight="1" x14ac:dyDescent="0.3">
      <c r="B517" s="60"/>
      <c r="D517" s="203"/>
      <c r="G517" s="204"/>
      <c r="L517" s="206"/>
    </row>
    <row r="518" spans="2:12" ht="15.75" customHeight="1" x14ac:dyDescent="0.3">
      <c r="B518" s="60"/>
      <c r="D518" s="203"/>
      <c r="G518" s="204"/>
      <c r="L518" s="206"/>
    </row>
    <row r="519" spans="2:12" ht="15.75" customHeight="1" x14ac:dyDescent="0.3">
      <c r="B519" s="60"/>
      <c r="D519" s="203"/>
      <c r="G519" s="204"/>
      <c r="L519" s="206"/>
    </row>
    <row r="520" spans="2:12" ht="15.75" customHeight="1" x14ac:dyDescent="0.3">
      <c r="B520" s="60"/>
      <c r="D520" s="203"/>
      <c r="G520" s="204"/>
      <c r="L520" s="206"/>
    </row>
    <row r="521" spans="2:12" ht="15.75" customHeight="1" x14ac:dyDescent="0.3">
      <c r="B521" s="60"/>
      <c r="D521" s="203"/>
      <c r="G521" s="204"/>
      <c r="L521" s="206"/>
    </row>
    <row r="522" spans="2:12" ht="15.75" customHeight="1" x14ac:dyDescent="0.3">
      <c r="B522" s="60"/>
      <c r="D522" s="203"/>
      <c r="G522" s="204"/>
      <c r="L522" s="206"/>
    </row>
    <row r="523" spans="2:12" ht="15.75" customHeight="1" x14ac:dyDescent="0.3">
      <c r="B523" s="60"/>
      <c r="D523" s="203"/>
      <c r="G523" s="204"/>
      <c r="L523" s="206"/>
    </row>
    <row r="524" spans="2:12" ht="15.75" customHeight="1" x14ac:dyDescent="0.3">
      <c r="B524" s="60"/>
      <c r="D524" s="203"/>
      <c r="G524" s="204"/>
      <c r="L524" s="206"/>
    </row>
    <row r="525" spans="2:12" ht="15.75" customHeight="1" x14ac:dyDescent="0.3">
      <c r="B525" s="60"/>
      <c r="D525" s="203"/>
      <c r="G525" s="204"/>
      <c r="L525" s="206"/>
    </row>
    <row r="526" spans="2:12" ht="15.75" customHeight="1" x14ac:dyDescent="0.3">
      <c r="B526" s="60"/>
      <c r="D526" s="203"/>
      <c r="G526" s="204"/>
      <c r="L526" s="206"/>
    </row>
    <row r="527" spans="2:12" ht="15.75" customHeight="1" x14ac:dyDescent="0.3">
      <c r="B527" s="60"/>
      <c r="D527" s="203"/>
      <c r="G527" s="204"/>
      <c r="L527" s="206"/>
    </row>
    <row r="528" spans="2:12" ht="15.75" customHeight="1" x14ac:dyDescent="0.3">
      <c r="B528" s="60"/>
      <c r="D528" s="203"/>
      <c r="G528" s="204"/>
      <c r="L528" s="206"/>
    </row>
    <row r="529" spans="2:12" ht="15.75" customHeight="1" x14ac:dyDescent="0.3">
      <c r="B529" s="60"/>
      <c r="D529" s="203"/>
      <c r="G529" s="204"/>
      <c r="L529" s="206"/>
    </row>
    <row r="530" spans="2:12" ht="15.75" customHeight="1" x14ac:dyDescent="0.3">
      <c r="B530" s="60"/>
      <c r="D530" s="203"/>
      <c r="G530" s="204"/>
      <c r="L530" s="206"/>
    </row>
    <row r="531" spans="2:12" ht="15.75" customHeight="1" x14ac:dyDescent="0.3">
      <c r="B531" s="60"/>
      <c r="D531" s="203"/>
      <c r="G531" s="204"/>
      <c r="L531" s="206"/>
    </row>
    <row r="532" spans="2:12" ht="15.75" customHeight="1" x14ac:dyDescent="0.3">
      <c r="B532" s="60"/>
      <c r="D532" s="203"/>
      <c r="G532" s="204"/>
      <c r="L532" s="206"/>
    </row>
    <row r="533" spans="2:12" ht="15.75" customHeight="1" x14ac:dyDescent="0.3">
      <c r="B533" s="60"/>
      <c r="D533" s="203"/>
      <c r="G533" s="204"/>
      <c r="L533" s="206"/>
    </row>
    <row r="534" spans="2:12" ht="15.75" customHeight="1" x14ac:dyDescent="0.3">
      <c r="B534" s="60"/>
      <c r="D534" s="203"/>
      <c r="G534" s="204"/>
      <c r="L534" s="206"/>
    </row>
    <row r="535" spans="2:12" ht="15.75" customHeight="1" x14ac:dyDescent="0.3">
      <c r="B535" s="60"/>
      <c r="D535" s="203"/>
      <c r="G535" s="204"/>
      <c r="L535" s="206"/>
    </row>
    <row r="536" spans="2:12" ht="15.75" customHeight="1" x14ac:dyDescent="0.3">
      <c r="B536" s="60"/>
      <c r="D536" s="203"/>
      <c r="G536" s="204"/>
      <c r="L536" s="206"/>
    </row>
    <row r="537" spans="2:12" ht="15.75" customHeight="1" x14ac:dyDescent="0.3">
      <c r="B537" s="60"/>
      <c r="D537" s="203"/>
      <c r="G537" s="204"/>
      <c r="L537" s="206"/>
    </row>
    <row r="538" spans="2:12" ht="15.75" customHeight="1" x14ac:dyDescent="0.3">
      <c r="B538" s="60"/>
      <c r="D538" s="203"/>
      <c r="G538" s="204"/>
      <c r="L538" s="206"/>
    </row>
    <row r="539" spans="2:12" ht="15.75" customHeight="1" x14ac:dyDescent="0.3">
      <c r="B539" s="60"/>
      <c r="D539" s="203"/>
      <c r="G539" s="204"/>
      <c r="L539" s="206"/>
    </row>
    <row r="540" spans="2:12" ht="15.75" customHeight="1" x14ac:dyDescent="0.3">
      <c r="B540" s="60"/>
      <c r="D540" s="203"/>
      <c r="G540" s="204"/>
      <c r="L540" s="206"/>
    </row>
    <row r="541" spans="2:12" ht="15.75" customHeight="1" x14ac:dyDescent="0.3">
      <c r="B541" s="60"/>
      <c r="D541" s="203"/>
      <c r="G541" s="204"/>
      <c r="L541" s="206"/>
    </row>
    <row r="542" spans="2:12" ht="15.75" customHeight="1" x14ac:dyDescent="0.3">
      <c r="B542" s="60"/>
      <c r="D542" s="203"/>
      <c r="G542" s="204"/>
      <c r="L542" s="206"/>
    </row>
    <row r="543" spans="2:12" ht="15.75" customHeight="1" x14ac:dyDescent="0.3">
      <c r="B543" s="60"/>
      <c r="D543" s="203"/>
      <c r="G543" s="204"/>
      <c r="L543" s="206"/>
    </row>
    <row r="544" spans="2:12" ht="15.75" customHeight="1" x14ac:dyDescent="0.3">
      <c r="B544" s="60"/>
      <c r="D544" s="203"/>
      <c r="G544" s="204"/>
      <c r="L544" s="206"/>
    </row>
    <row r="545" spans="2:12" ht="15.75" customHeight="1" x14ac:dyDescent="0.3">
      <c r="B545" s="60"/>
      <c r="D545" s="203"/>
      <c r="G545" s="204"/>
      <c r="L545" s="206"/>
    </row>
    <row r="546" spans="2:12" ht="15.75" customHeight="1" x14ac:dyDescent="0.3">
      <c r="B546" s="60"/>
      <c r="D546" s="203"/>
      <c r="G546" s="204"/>
      <c r="L546" s="206"/>
    </row>
    <row r="547" spans="2:12" ht="15.75" customHeight="1" x14ac:dyDescent="0.3">
      <c r="B547" s="60"/>
      <c r="D547" s="203"/>
      <c r="G547" s="204"/>
      <c r="L547" s="206"/>
    </row>
    <row r="548" spans="2:12" ht="15.75" customHeight="1" x14ac:dyDescent="0.3">
      <c r="B548" s="60"/>
      <c r="D548" s="203"/>
      <c r="G548" s="204"/>
      <c r="L548" s="206"/>
    </row>
    <row r="549" spans="2:12" ht="15.75" customHeight="1" x14ac:dyDescent="0.3">
      <c r="B549" s="60"/>
      <c r="D549" s="203"/>
      <c r="G549" s="204"/>
      <c r="L549" s="206"/>
    </row>
    <row r="550" spans="2:12" ht="15.75" customHeight="1" x14ac:dyDescent="0.3">
      <c r="B550" s="60"/>
      <c r="D550" s="203"/>
      <c r="G550" s="204"/>
      <c r="L550" s="206"/>
    </row>
    <row r="551" spans="2:12" ht="15.75" customHeight="1" x14ac:dyDescent="0.3">
      <c r="B551" s="60"/>
      <c r="D551" s="203"/>
      <c r="G551" s="204"/>
      <c r="L551" s="206"/>
    </row>
    <row r="552" spans="2:12" ht="15.75" customHeight="1" x14ac:dyDescent="0.3">
      <c r="B552" s="60"/>
      <c r="D552" s="203"/>
      <c r="G552" s="204"/>
      <c r="L552" s="206"/>
    </row>
    <row r="553" spans="2:12" ht="15.75" customHeight="1" x14ac:dyDescent="0.3">
      <c r="B553" s="60"/>
      <c r="D553" s="203"/>
      <c r="G553" s="204"/>
      <c r="L553" s="206"/>
    </row>
    <row r="554" spans="2:12" ht="15.75" customHeight="1" x14ac:dyDescent="0.3">
      <c r="B554" s="60"/>
      <c r="D554" s="203"/>
      <c r="G554" s="204"/>
      <c r="L554" s="206"/>
    </row>
    <row r="555" spans="2:12" ht="15.75" customHeight="1" x14ac:dyDescent="0.3">
      <c r="B555" s="60"/>
      <c r="D555" s="203"/>
      <c r="G555" s="204"/>
      <c r="L555" s="206"/>
    </row>
    <row r="556" spans="2:12" ht="15.75" customHeight="1" x14ac:dyDescent="0.3">
      <c r="B556" s="60"/>
      <c r="D556" s="203"/>
      <c r="G556" s="204"/>
      <c r="L556" s="206"/>
    </row>
    <row r="557" spans="2:12" ht="15.75" customHeight="1" x14ac:dyDescent="0.3">
      <c r="B557" s="60"/>
      <c r="D557" s="203"/>
      <c r="G557" s="204"/>
      <c r="L557" s="206"/>
    </row>
    <row r="558" spans="2:12" ht="15.75" customHeight="1" x14ac:dyDescent="0.3">
      <c r="B558" s="60"/>
      <c r="D558" s="203"/>
      <c r="G558" s="204"/>
      <c r="L558" s="206"/>
    </row>
    <row r="559" spans="2:12" ht="15.75" customHeight="1" x14ac:dyDescent="0.3">
      <c r="B559" s="60"/>
      <c r="D559" s="203"/>
      <c r="G559" s="204"/>
      <c r="L559" s="206"/>
    </row>
    <row r="560" spans="2:12" ht="15.75" customHeight="1" x14ac:dyDescent="0.3">
      <c r="B560" s="60"/>
      <c r="D560" s="203"/>
      <c r="G560" s="204"/>
      <c r="L560" s="206"/>
    </row>
    <row r="561" spans="2:12" ht="15.75" customHeight="1" x14ac:dyDescent="0.3">
      <c r="B561" s="60"/>
      <c r="D561" s="203"/>
      <c r="G561" s="204"/>
      <c r="L561" s="206"/>
    </row>
    <row r="562" spans="2:12" ht="15.75" customHeight="1" x14ac:dyDescent="0.3">
      <c r="B562" s="60"/>
      <c r="D562" s="203"/>
      <c r="G562" s="204"/>
      <c r="L562" s="206"/>
    </row>
    <row r="563" spans="2:12" ht="15.75" customHeight="1" x14ac:dyDescent="0.3">
      <c r="B563" s="60"/>
      <c r="D563" s="203"/>
      <c r="G563" s="204"/>
      <c r="L563" s="206"/>
    </row>
    <row r="564" spans="2:12" ht="15.75" customHeight="1" x14ac:dyDescent="0.3">
      <c r="B564" s="60"/>
      <c r="D564" s="203"/>
      <c r="G564" s="204"/>
      <c r="L564" s="206"/>
    </row>
    <row r="565" spans="2:12" ht="15.75" customHeight="1" x14ac:dyDescent="0.3">
      <c r="B565" s="60"/>
      <c r="D565" s="203"/>
      <c r="G565" s="204"/>
      <c r="L565" s="206"/>
    </row>
    <row r="566" spans="2:12" ht="15.75" customHeight="1" x14ac:dyDescent="0.3">
      <c r="B566" s="60"/>
      <c r="D566" s="203"/>
      <c r="G566" s="204"/>
      <c r="L566" s="206"/>
    </row>
    <row r="567" spans="2:12" ht="15.75" customHeight="1" x14ac:dyDescent="0.3">
      <c r="B567" s="60"/>
      <c r="D567" s="203"/>
      <c r="G567" s="204"/>
      <c r="L567" s="206"/>
    </row>
    <row r="568" spans="2:12" ht="15.75" customHeight="1" x14ac:dyDescent="0.3">
      <c r="B568" s="60"/>
      <c r="D568" s="203"/>
      <c r="G568" s="204"/>
      <c r="L568" s="206"/>
    </row>
    <row r="569" spans="2:12" ht="15.75" customHeight="1" x14ac:dyDescent="0.3">
      <c r="B569" s="60"/>
      <c r="D569" s="203"/>
      <c r="G569" s="204"/>
      <c r="L569" s="206"/>
    </row>
    <row r="570" spans="2:12" ht="15.75" customHeight="1" x14ac:dyDescent="0.3">
      <c r="B570" s="60"/>
      <c r="D570" s="203"/>
      <c r="G570" s="204"/>
      <c r="L570" s="206"/>
    </row>
    <row r="571" spans="2:12" ht="15.75" customHeight="1" x14ac:dyDescent="0.3">
      <c r="B571" s="60"/>
      <c r="D571" s="203"/>
      <c r="G571" s="204"/>
      <c r="L571" s="206"/>
    </row>
    <row r="572" spans="2:12" ht="15.75" customHeight="1" x14ac:dyDescent="0.3">
      <c r="B572" s="60"/>
      <c r="D572" s="203"/>
      <c r="G572" s="204"/>
      <c r="L572" s="206"/>
    </row>
    <row r="573" spans="2:12" ht="15.75" customHeight="1" x14ac:dyDescent="0.3">
      <c r="B573" s="60"/>
      <c r="D573" s="203"/>
      <c r="G573" s="204"/>
      <c r="L573" s="206"/>
    </row>
    <row r="574" spans="2:12" ht="15.75" customHeight="1" x14ac:dyDescent="0.3">
      <c r="B574" s="60"/>
      <c r="D574" s="203"/>
      <c r="G574" s="204"/>
      <c r="L574" s="206"/>
    </row>
    <row r="575" spans="2:12" ht="15.75" customHeight="1" x14ac:dyDescent="0.3">
      <c r="B575" s="60"/>
      <c r="D575" s="203"/>
      <c r="G575" s="204"/>
      <c r="L575" s="206"/>
    </row>
    <row r="576" spans="2:12" ht="15.75" customHeight="1" x14ac:dyDescent="0.3">
      <c r="B576" s="60"/>
      <c r="D576" s="203"/>
      <c r="G576" s="204"/>
      <c r="L576" s="206"/>
    </row>
    <row r="577" spans="2:12" ht="15.75" customHeight="1" x14ac:dyDescent="0.3">
      <c r="B577" s="60"/>
      <c r="D577" s="203"/>
      <c r="G577" s="204"/>
      <c r="L577" s="206"/>
    </row>
    <row r="578" spans="2:12" ht="15.75" customHeight="1" x14ac:dyDescent="0.3">
      <c r="B578" s="60"/>
      <c r="D578" s="203"/>
      <c r="G578" s="204"/>
      <c r="L578" s="206"/>
    </row>
    <row r="579" spans="2:12" ht="15.75" customHeight="1" x14ac:dyDescent="0.3">
      <c r="B579" s="60"/>
      <c r="D579" s="203"/>
      <c r="G579" s="204"/>
      <c r="L579" s="206"/>
    </row>
    <row r="580" spans="2:12" ht="15.75" customHeight="1" x14ac:dyDescent="0.3">
      <c r="B580" s="60"/>
      <c r="D580" s="203"/>
      <c r="G580" s="204"/>
      <c r="L580" s="206"/>
    </row>
    <row r="581" spans="2:12" ht="15.75" customHeight="1" x14ac:dyDescent="0.3">
      <c r="B581" s="60"/>
      <c r="D581" s="203"/>
      <c r="G581" s="204"/>
      <c r="L581" s="206"/>
    </row>
    <row r="582" spans="2:12" ht="15.75" customHeight="1" x14ac:dyDescent="0.3">
      <c r="B582" s="60"/>
      <c r="D582" s="203"/>
      <c r="G582" s="204"/>
      <c r="L582" s="206"/>
    </row>
    <row r="583" spans="2:12" ht="15.75" customHeight="1" x14ac:dyDescent="0.3">
      <c r="B583" s="60"/>
      <c r="D583" s="203"/>
      <c r="G583" s="204"/>
      <c r="L583" s="206"/>
    </row>
    <row r="584" spans="2:12" ht="15.75" customHeight="1" x14ac:dyDescent="0.3">
      <c r="B584" s="60"/>
      <c r="D584" s="203"/>
      <c r="G584" s="204"/>
      <c r="L584" s="206"/>
    </row>
    <row r="585" spans="2:12" ht="15.75" customHeight="1" x14ac:dyDescent="0.3">
      <c r="B585" s="60"/>
      <c r="D585" s="203"/>
      <c r="G585" s="204"/>
      <c r="L585" s="206"/>
    </row>
    <row r="586" spans="2:12" ht="15.75" customHeight="1" x14ac:dyDescent="0.3">
      <c r="B586" s="60"/>
      <c r="D586" s="203"/>
      <c r="G586" s="204"/>
      <c r="L586" s="206"/>
    </row>
    <row r="587" spans="2:12" ht="15.75" customHeight="1" x14ac:dyDescent="0.3">
      <c r="B587" s="60"/>
      <c r="D587" s="203"/>
      <c r="G587" s="204"/>
      <c r="L587" s="206"/>
    </row>
    <row r="588" spans="2:12" ht="15.75" customHeight="1" x14ac:dyDescent="0.3">
      <c r="B588" s="60"/>
      <c r="D588" s="203"/>
      <c r="G588" s="204"/>
      <c r="L588" s="206"/>
    </row>
    <row r="589" spans="2:12" ht="15.75" customHeight="1" x14ac:dyDescent="0.3">
      <c r="B589" s="60"/>
      <c r="D589" s="203"/>
      <c r="G589" s="204"/>
      <c r="L589" s="206"/>
    </row>
    <row r="590" spans="2:12" ht="15.75" customHeight="1" x14ac:dyDescent="0.3">
      <c r="B590" s="60"/>
      <c r="D590" s="203"/>
      <c r="G590" s="204"/>
      <c r="L590" s="206"/>
    </row>
    <row r="591" spans="2:12" ht="15.75" customHeight="1" x14ac:dyDescent="0.3">
      <c r="B591" s="60"/>
      <c r="D591" s="203"/>
      <c r="G591" s="204"/>
      <c r="L591" s="206"/>
    </row>
    <row r="592" spans="2:12" ht="15.75" customHeight="1" x14ac:dyDescent="0.3">
      <c r="B592" s="60"/>
      <c r="D592" s="203"/>
      <c r="G592" s="204"/>
      <c r="L592" s="206"/>
    </row>
    <row r="593" spans="2:12" ht="15.75" customHeight="1" x14ac:dyDescent="0.3">
      <c r="B593" s="60"/>
      <c r="D593" s="203"/>
      <c r="G593" s="204"/>
      <c r="L593" s="206"/>
    </row>
    <row r="594" spans="2:12" ht="15.75" customHeight="1" x14ac:dyDescent="0.3">
      <c r="B594" s="60"/>
      <c r="D594" s="203"/>
      <c r="G594" s="204"/>
      <c r="L594" s="206"/>
    </row>
    <row r="595" spans="2:12" ht="15.75" customHeight="1" x14ac:dyDescent="0.3">
      <c r="B595" s="60"/>
      <c r="D595" s="203"/>
      <c r="G595" s="204"/>
      <c r="L595" s="206"/>
    </row>
    <row r="596" spans="2:12" ht="15.75" customHeight="1" x14ac:dyDescent="0.3">
      <c r="B596" s="60"/>
      <c r="D596" s="203"/>
      <c r="G596" s="204"/>
      <c r="L596" s="206"/>
    </row>
    <row r="597" spans="2:12" ht="15.75" customHeight="1" x14ac:dyDescent="0.3">
      <c r="B597" s="60"/>
      <c r="D597" s="203"/>
      <c r="G597" s="204"/>
      <c r="L597" s="206"/>
    </row>
    <row r="598" spans="2:12" ht="15.75" customHeight="1" x14ac:dyDescent="0.3">
      <c r="B598" s="60"/>
      <c r="D598" s="203"/>
      <c r="G598" s="204"/>
      <c r="L598" s="206"/>
    </row>
    <row r="599" spans="2:12" ht="15.75" customHeight="1" x14ac:dyDescent="0.3">
      <c r="B599" s="60"/>
      <c r="D599" s="203"/>
      <c r="G599" s="204"/>
      <c r="L599" s="206"/>
    </row>
    <row r="600" spans="2:12" ht="15.75" customHeight="1" x14ac:dyDescent="0.3">
      <c r="B600" s="60"/>
      <c r="D600" s="203"/>
      <c r="G600" s="204"/>
      <c r="L600" s="206"/>
    </row>
    <row r="601" spans="2:12" ht="15.75" customHeight="1" x14ac:dyDescent="0.3">
      <c r="B601" s="60"/>
      <c r="D601" s="203"/>
      <c r="G601" s="204"/>
      <c r="L601" s="206"/>
    </row>
    <row r="602" spans="2:12" ht="15.75" customHeight="1" x14ac:dyDescent="0.3">
      <c r="B602" s="60"/>
      <c r="D602" s="203"/>
      <c r="G602" s="204"/>
      <c r="L602" s="206"/>
    </row>
    <row r="603" spans="2:12" ht="15.75" customHeight="1" x14ac:dyDescent="0.3">
      <c r="B603" s="60"/>
      <c r="D603" s="203"/>
      <c r="G603" s="204"/>
      <c r="L603" s="206"/>
    </row>
    <row r="604" spans="2:12" ht="15.75" customHeight="1" x14ac:dyDescent="0.3">
      <c r="B604" s="60"/>
      <c r="D604" s="203"/>
      <c r="G604" s="204"/>
      <c r="L604" s="206"/>
    </row>
    <row r="605" spans="2:12" ht="15.75" customHeight="1" x14ac:dyDescent="0.3">
      <c r="B605" s="60"/>
      <c r="D605" s="203"/>
      <c r="G605" s="204"/>
      <c r="L605" s="206"/>
    </row>
    <row r="606" spans="2:12" ht="15.75" customHeight="1" x14ac:dyDescent="0.3">
      <c r="B606" s="60"/>
      <c r="D606" s="203"/>
      <c r="G606" s="204"/>
      <c r="L606" s="206"/>
    </row>
    <row r="607" spans="2:12" ht="15.75" customHeight="1" x14ac:dyDescent="0.3">
      <c r="B607" s="60"/>
      <c r="D607" s="203"/>
      <c r="G607" s="204"/>
      <c r="L607" s="206"/>
    </row>
    <row r="608" spans="2:12" ht="15.75" customHeight="1" x14ac:dyDescent="0.3">
      <c r="B608" s="60"/>
      <c r="D608" s="203"/>
      <c r="G608" s="204"/>
      <c r="L608" s="206"/>
    </row>
    <row r="609" spans="2:12" ht="15.75" customHeight="1" x14ac:dyDescent="0.3">
      <c r="B609" s="60"/>
      <c r="D609" s="203"/>
      <c r="G609" s="204"/>
      <c r="L609" s="206"/>
    </row>
    <row r="610" spans="2:12" ht="15.75" customHeight="1" x14ac:dyDescent="0.3">
      <c r="B610" s="60"/>
      <c r="D610" s="203"/>
      <c r="G610" s="204"/>
      <c r="L610" s="206"/>
    </row>
    <row r="611" spans="2:12" ht="15.75" customHeight="1" x14ac:dyDescent="0.3">
      <c r="B611" s="60"/>
      <c r="D611" s="203"/>
      <c r="G611" s="204"/>
      <c r="L611" s="206"/>
    </row>
    <row r="612" spans="2:12" ht="15.75" customHeight="1" x14ac:dyDescent="0.3">
      <c r="B612" s="60"/>
      <c r="D612" s="203"/>
      <c r="G612" s="204"/>
      <c r="L612" s="206"/>
    </row>
    <row r="613" spans="2:12" ht="15.75" customHeight="1" x14ac:dyDescent="0.3">
      <c r="B613" s="60"/>
      <c r="D613" s="203"/>
      <c r="G613" s="204"/>
      <c r="L613" s="206"/>
    </row>
    <row r="614" spans="2:12" ht="15.75" customHeight="1" x14ac:dyDescent="0.3">
      <c r="B614" s="60"/>
      <c r="D614" s="203"/>
      <c r="G614" s="204"/>
      <c r="L614" s="206"/>
    </row>
    <row r="615" spans="2:12" ht="15.75" customHeight="1" x14ac:dyDescent="0.3">
      <c r="B615" s="60"/>
      <c r="D615" s="203"/>
      <c r="G615" s="204"/>
      <c r="L615" s="206"/>
    </row>
    <row r="616" spans="2:12" ht="15.75" customHeight="1" x14ac:dyDescent="0.3">
      <c r="B616" s="60"/>
      <c r="D616" s="203"/>
      <c r="G616" s="204"/>
      <c r="L616" s="206"/>
    </row>
    <row r="617" spans="2:12" ht="15.75" customHeight="1" x14ac:dyDescent="0.3">
      <c r="B617" s="60"/>
      <c r="D617" s="203"/>
      <c r="G617" s="204"/>
      <c r="L617" s="206"/>
    </row>
    <row r="618" spans="2:12" ht="15.75" customHeight="1" x14ac:dyDescent="0.3">
      <c r="B618" s="60"/>
      <c r="D618" s="203"/>
      <c r="G618" s="204"/>
      <c r="L618" s="206"/>
    </row>
    <row r="619" spans="2:12" ht="15.75" customHeight="1" x14ac:dyDescent="0.3">
      <c r="B619" s="60"/>
      <c r="D619" s="203"/>
      <c r="G619" s="204"/>
      <c r="L619" s="206"/>
    </row>
    <row r="620" spans="2:12" ht="15.75" customHeight="1" x14ac:dyDescent="0.3">
      <c r="B620" s="60"/>
      <c r="D620" s="203"/>
      <c r="G620" s="204"/>
      <c r="L620" s="206"/>
    </row>
    <row r="621" spans="2:12" ht="15.75" customHeight="1" x14ac:dyDescent="0.3">
      <c r="B621" s="60"/>
      <c r="D621" s="203"/>
      <c r="G621" s="204"/>
      <c r="L621" s="206"/>
    </row>
    <row r="622" spans="2:12" ht="15.75" customHeight="1" x14ac:dyDescent="0.3">
      <c r="B622" s="60"/>
      <c r="D622" s="203"/>
      <c r="G622" s="204"/>
      <c r="L622" s="206"/>
    </row>
    <row r="623" spans="2:12" ht="15.75" customHeight="1" x14ac:dyDescent="0.3">
      <c r="B623" s="60"/>
      <c r="D623" s="203"/>
      <c r="G623" s="204"/>
      <c r="L623" s="206"/>
    </row>
    <row r="624" spans="2:12" ht="15.75" customHeight="1" x14ac:dyDescent="0.3">
      <c r="B624" s="60"/>
      <c r="D624" s="203"/>
      <c r="G624" s="204"/>
      <c r="L624" s="206"/>
    </row>
    <row r="625" spans="2:12" ht="15.75" customHeight="1" x14ac:dyDescent="0.3">
      <c r="B625" s="60"/>
      <c r="D625" s="203"/>
      <c r="G625" s="204"/>
      <c r="L625" s="206"/>
    </row>
    <row r="626" spans="2:12" ht="15.75" customHeight="1" x14ac:dyDescent="0.3">
      <c r="B626" s="60"/>
      <c r="D626" s="203"/>
      <c r="G626" s="204"/>
      <c r="L626" s="206"/>
    </row>
    <row r="627" spans="2:12" ht="15.75" customHeight="1" x14ac:dyDescent="0.3">
      <c r="B627" s="60"/>
      <c r="D627" s="203"/>
      <c r="G627" s="204"/>
      <c r="L627" s="206"/>
    </row>
    <row r="628" spans="2:12" ht="15.75" customHeight="1" x14ac:dyDescent="0.3">
      <c r="B628" s="60"/>
      <c r="D628" s="203"/>
      <c r="G628" s="204"/>
      <c r="L628" s="206"/>
    </row>
    <row r="629" spans="2:12" ht="15.75" customHeight="1" x14ac:dyDescent="0.3">
      <c r="B629" s="60"/>
      <c r="D629" s="203"/>
      <c r="G629" s="204"/>
      <c r="L629" s="206"/>
    </row>
    <row r="630" spans="2:12" ht="15.75" customHeight="1" x14ac:dyDescent="0.3">
      <c r="B630" s="60"/>
      <c r="D630" s="203"/>
      <c r="G630" s="204"/>
      <c r="L630" s="206"/>
    </row>
    <row r="631" spans="2:12" ht="15.75" customHeight="1" x14ac:dyDescent="0.3">
      <c r="B631" s="60"/>
      <c r="D631" s="203"/>
      <c r="G631" s="204"/>
      <c r="L631" s="206"/>
    </row>
    <row r="632" spans="2:12" ht="15.75" customHeight="1" x14ac:dyDescent="0.3">
      <c r="B632" s="60"/>
      <c r="D632" s="203"/>
      <c r="G632" s="204"/>
      <c r="L632" s="206"/>
    </row>
    <row r="633" spans="2:12" ht="15.75" customHeight="1" x14ac:dyDescent="0.3">
      <c r="B633" s="60"/>
      <c r="D633" s="203"/>
      <c r="G633" s="204"/>
      <c r="L633" s="206"/>
    </row>
    <row r="634" spans="2:12" ht="15.75" customHeight="1" x14ac:dyDescent="0.3">
      <c r="B634" s="60"/>
      <c r="D634" s="203"/>
      <c r="G634" s="204"/>
      <c r="L634" s="206"/>
    </row>
    <row r="635" spans="2:12" ht="15.75" customHeight="1" x14ac:dyDescent="0.3">
      <c r="B635" s="60"/>
      <c r="D635" s="203"/>
      <c r="G635" s="204"/>
      <c r="L635" s="206"/>
    </row>
    <row r="636" spans="2:12" ht="15.75" customHeight="1" x14ac:dyDescent="0.3">
      <c r="B636" s="60"/>
      <c r="D636" s="203"/>
      <c r="G636" s="204"/>
      <c r="L636" s="206"/>
    </row>
    <row r="637" spans="2:12" ht="15.75" customHeight="1" x14ac:dyDescent="0.3">
      <c r="B637" s="60"/>
      <c r="D637" s="203"/>
      <c r="G637" s="204"/>
      <c r="L637" s="206"/>
    </row>
    <row r="638" spans="2:12" ht="15.75" customHeight="1" x14ac:dyDescent="0.3">
      <c r="B638" s="60"/>
      <c r="D638" s="203"/>
      <c r="G638" s="204"/>
      <c r="L638" s="206"/>
    </row>
    <row r="639" spans="2:12" ht="15.75" customHeight="1" x14ac:dyDescent="0.3">
      <c r="B639" s="60"/>
      <c r="D639" s="203"/>
      <c r="G639" s="204"/>
      <c r="L639" s="206"/>
    </row>
    <row r="640" spans="2:12" ht="15.75" customHeight="1" x14ac:dyDescent="0.3">
      <c r="B640" s="60"/>
      <c r="D640" s="203"/>
      <c r="G640" s="204"/>
      <c r="L640" s="206"/>
    </row>
    <row r="641" spans="2:12" ht="15.75" customHeight="1" x14ac:dyDescent="0.3">
      <c r="B641" s="60"/>
      <c r="D641" s="203"/>
      <c r="G641" s="204"/>
      <c r="L641" s="206"/>
    </row>
    <row r="642" spans="2:12" ht="15.75" customHeight="1" x14ac:dyDescent="0.3">
      <c r="B642" s="60"/>
      <c r="D642" s="203"/>
      <c r="G642" s="204"/>
      <c r="L642" s="206"/>
    </row>
    <row r="643" spans="2:12" ht="15.75" customHeight="1" x14ac:dyDescent="0.3">
      <c r="B643" s="60"/>
      <c r="D643" s="203"/>
      <c r="G643" s="204"/>
      <c r="L643" s="206"/>
    </row>
    <row r="644" spans="2:12" ht="15.75" customHeight="1" x14ac:dyDescent="0.3">
      <c r="B644" s="60"/>
      <c r="D644" s="203"/>
      <c r="G644" s="204"/>
      <c r="L644" s="206"/>
    </row>
    <row r="645" spans="2:12" ht="15.75" customHeight="1" x14ac:dyDescent="0.3">
      <c r="B645" s="60"/>
      <c r="D645" s="203"/>
      <c r="G645" s="204"/>
      <c r="L645" s="206"/>
    </row>
    <row r="646" spans="2:12" ht="15.75" customHeight="1" x14ac:dyDescent="0.3">
      <c r="B646" s="60"/>
      <c r="D646" s="203"/>
      <c r="G646" s="204"/>
      <c r="L646" s="206"/>
    </row>
    <row r="647" spans="2:12" ht="15.75" customHeight="1" x14ac:dyDescent="0.3">
      <c r="B647" s="60"/>
      <c r="D647" s="203"/>
      <c r="G647" s="204"/>
      <c r="L647" s="206"/>
    </row>
    <row r="648" spans="2:12" ht="15.75" customHeight="1" x14ac:dyDescent="0.3">
      <c r="B648" s="60"/>
      <c r="D648" s="203"/>
      <c r="G648" s="204"/>
      <c r="L648" s="206"/>
    </row>
    <row r="649" spans="2:12" ht="15.75" customHeight="1" x14ac:dyDescent="0.3">
      <c r="B649" s="60"/>
      <c r="D649" s="203"/>
      <c r="G649" s="204"/>
      <c r="L649" s="206"/>
    </row>
    <row r="650" spans="2:12" ht="15.75" customHeight="1" x14ac:dyDescent="0.3">
      <c r="B650" s="60"/>
      <c r="D650" s="203"/>
      <c r="G650" s="204"/>
      <c r="L650" s="206"/>
    </row>
    <row r="651" spans="2:12" ht="15.75" customHeight="1" x14ac:dyDescent="0.3">
      <c r="B651" s="60"/>
      <c r="D651" s="203"/>
      <c r="G651" s="204"/>
      <c r="L651" s="206"/>
    </row>
    <row r="652" spans="2:12" ht="15.75" customHeight="1" x14ac:dyDescent="0.3">
      <c r="B652" s="60"/>
      <c r="D652" s="203"/>
      <c r="G652" s="204"/>
      <c r="L652" s="206"/>
    </row>
    <row r="653" spans="2:12" ht="15.75" customHeight="1" x14ac:dyDescent="0.3">
      <c r="B653" s="60"/>
      <c r="D653" s="203"/>
      <c r="G653" s="204"/>
      <c r="L653" s="206"/>
    </row>
    <row r="654" spans="2:12" ht="15.75" customHeight="1" x14ac:dyDescent="0.3">
      <c r="B654" s="60"/>
      <c r="D654" s="203"/>
      <c r="G654" s="204"/>
      <c r="L654" s="206"/>
    </row>
    <row r="655" spans="2:12" ht="15.75" customHeight="1" x14ac:dyDescent="0.3">
      <c r="B655" s="60"/>
      <c r="D655" s="203"/>
      <c r="G655" s="204"/>
      <c r="L655" s="206"/>
    </row>
    <row r="656" spans="2:12" ht="15.75" customHeight="1" x14ac:dyDescent="0.3">
      <c r="B656" s="60"/>
      <c r="D656" s="203"/>
      <c r="G656" s="204"/>
      <c r="L656" s="206"/>
    </row>
    <row r="657" spans="2:12" ht="15.75" customHeight="1" x14ac:dyDescent="0.3">
      <c r="B657" s="60"/>
      <c r="D657" s="203"/>
      <c r="G657" s="204"/>
      <c r="L657" s="206"/>
    </row>
    <row r="658" spans="2:12" ht="15.75" customHeight="1" x14ac:dyDescent="0.3">
      <c r="B658" s="60"/>
      <c r="D658" s="203"/>
      <c r="G658" s="204"/>
      <c r="L658" s="206"/>
    </row>
    <row r="659" spans="2:12" ht="15.75" customHeight="1" x14ac:dyDescent="0.3">
      <c r="B659" s="60"/>
      <c r="D659" s="203"/>
      <c r="G659" s="204"/>
      <c r="L659" s="206"/>
    </row>
    <row r="660" spans="2:12" ht="15.75" customHeight="1" x14ac:dyDescent="0.3">
      <c r="B660" s="60"/>
      <c r="D660" s="203"/>
      <c r="G660" s="204"/>
      <c r="L660" s="206"/>
    </row>
    <row r="661" spans="2:12" ht="15.75" customHeight="1" x14ac:dyDescent="0.3">
      <c r="B661" s="60"/>
      <c r="D661" s="203"/>
      <c r="G661" s="204"/>
      <c r="L661" s="206"/>
    </row>
    <row r="662" spans="2:12" ht="15.75" customHeight="1" x14ac:dyDescent="0.3">
      <c r="B662" s="60"/>
      <c r="D662" s="203"/>
      <c r="G662" s="204"/>
      <c r="L662" s="206"/>
    </row>
    <row r="663" spans="2:12" ht="15.75" customHeight="1" x14ac:dyDescent="0.3">
      <c r="B663" s="60"/>
      <c r="D663" s="203"/>
      <c r="G663" s="204"/>
      <c r="L663" s="206"/>
    </row>
    <row r="664" spans="2:12" ht="15.75" customHeight="1" x14ac:dyDescent="0.3">
      <c r="B664" s="60"/>
      <c r="D664" s="203"/>
      <c r="G664" s="204"/>
      <c r="L664" s="206"/>
    </row>
    <row r="665" spans="2:12" ht="15.75" customHeight="1" x14ac:dyDescent="0.3">
      <c r="B665" s="60"/>
      <c r="D665" s="203"/>
      <c r="G665" s="204"/>
      <c r="L665" s="206"/>
    </row>
    <row r="666" spans="2:12" ht="15.75" customHeight="1" x14ac:dyDescent="0.3">
      <c r="B666" s="60"/>
      <c r="D666" s="203"/>
      <c r="G666" s="204"/>
      <c r="L666" s="206"/>
    </row>
    <row r="667" spans="2:12" ht="15.75" customHeight="1" x14ac:dyDescent="0.3">
      <c r="B667" s="60"/>
      <c r="D667" s="203"/>
      <c r="G667" s="204"/>
      <c r="L667" s="206"/>
    </row>
    <row r="668" spans="2:12" ht="15.75" customHeight="1" x14ac:dyDescent="0.3">
      <c r="B668" s="60"/>
      <c r="D668" s="203"/>
      <c r="G668" s="204"/>
      <c r="L668" s="206"/>
    </row>
    <row r="669" spans="2:12" ht="15.75" customHeight="1" x14ac:dyDescent="0.3">
      <c r="B669" s="60"/>
      <c r="D669" s="203"/>
      <c r="G669" s="204"/>
      <c r="L669" s="206"/>
    </row>
    <row r="670" spans="2:12" ht="15.75" customHeight="1" x14ac:dyDescent="0.3">
      <c r="B670" s="60"/>
      <c r="D670" s="203"/>
      <c r="G670" s="204"/>
      <c r="L670" s="206"/>
    </row>
    <row r="671" spans="2:12" ht="15.75" customHeight="1" x14ac:dyDescent="0.3">
      <c r="B671" s="60"/>
      <c r="D671" s="203"/>
      <c r="G671" s="204"/>
      <c r="L671" s="206"/>
    </row>
    <row r="672" spans="2:12" ht="15.75" customHeight="1" x14ac:dyDescent="0.3">
      <c r="B672" s="60"/>
      <c r="D672" s="203"/>
      <c r="G672" s="204"/>
      <c r="L672" s="206"/>
    </row>
    <row r="673" spans="2:12" ht="15.75" customHeight="1" x14ac:dyDescent="0.3">
      <c r="B673" s="60"/>
      <c r="D673" s="203"/>
      <c r="G673" s="204"/>
      <c r="L673" s="206"/>
    </row>
    <row r="674" spans="2:12" ht="15.75" customHeight="1" x14ac:dyDescent="0.3">
      <c r="B674" s="60"/>
      <c r="D674" s="203"/>
      <c r="G674" s="204"/>
      <c r="L674" s="206"/>
    </row>
    <row r="675" spans="2:12" ht="15.75" customHeight="1" x14ac:dyDescent="0.3">
      <c r="B675" s="60"/>
      <c r="D675" s="203"/>
      <c r="G675" s="204"/>
      <c r="L675" s="206"/>
    </row>
    <row r="676" spans="2:12" ht="15.75" customHeight="1" x14ac:dyDescent="0.3">
      <c r="B676" s="60"/>
      <c r="D676" s="203"/>
      <c r="G676" s="204"/>
      <c r="L676" s="206"/>
    </row>
    <row r="677" spans="2:12" ht="15.75" customHeight="1" x14ac:dyDescent="0.3">
      <c r="B677" s="60"/>
      <c r="D677" s="203"/>
      <c r="G677" s="204"/>
      <c r="L677" s="206"/>
    </row>
    <row r="678" spans="2:12" ht="15.75" customHeight="1" x14ac:dyDescent="0.3">
      <c r="B678" s="60"/>
      <c r="D678" s="203"/>
      <c r="G678" s="204"/>
      <c r="L678" s="206"/>
    </row>
    <row r="679" spans="2:12" ht="15.75" customHeight="1" x14ac:dyDescent="0.3">
      <c r="B679" s="60"/>
      <c r="D679" s="203"/>
      <c r="G679" s="204"/>
      <c r="L679" s="206"/>
    </row>
    <row r="680" spans="2:12" ht="15.75" customHeight="1" x14ac:dyDescent="0.3">
      <c r="B680" s="60"/>
      <c r="D680" s="203"/>
      <c r="G680" s="204"/>
      <c r="L680" s="206"/>
    </row>
    <row r="681" spans="2:12" ht="15.75" customHeight="1" x14ac:dyDescent="0.3">
      <c r="B681" s="60"/>
      <c r="D681" s="203"/>
      <c r="G681" s="204"/>
      <c r="L681" s="206"/>
    </row>
    <row r="682" spans="2:12" ht="15.75" customHeight="1" x14ac:dyDescent="0.3">
      <c r="B682" s="60"/>
      <c r="D682" s="203"/>
      <c r="G682" s="204"/>
      <c r="L682" s="206"/>
    </row>
    <row r="683" spans="2:12" ht="15.75" customHeight="1" x14ac:dyDescent="0.3">
      <c r="B683" s="60"/>
      <c r="D683" s="203"/>
      <c r="G683" s="204"/>
      <c r="L683" s="206"/>
    </row>
    <row r="684" spans="2:12" ht="15.75" customHeight="1" x14ac:dyDescent="0.3">
      <c r="B684" s="60"/>
      <c r="D684" s="203"/>
      <c r="G684" s="204"/>
      <c r="L684" s="206"/>
    </row>
    <row r="685" spans="2:12" ht="15.75" customHeight="1" x14ac:dyDescent="0.3">
      <c r="B685" s="60"/>
      <c r="D685" s="203"/>
      <c r="G685" s="204"/>
      <c r="L685" s="206"/>
    </row>
    <row r="686" spans="2:12" ht="15.75" customHeight="1" x14ac:dyDescent="0.3">
      <c r="B686" s="60"/>
      <c r="D686" s="203"/>
      <c r="G686" s="204"/>
      <c r="L686" s="206"/>
    </row>
    <row r="687" spans="2:12" ht="15.75" customHeight="1" x14ac:dyDescent="0.3">
      <c r="B687" s="60"/>
      <c r="D687" s="203"/>
      <c r="G687" s="204"/>
      <c r="L687" s="206"/>
    </row>
    <row r="688" spans="2:12" ht="15.75" customHeight="1" x14ac:dyDescent="0.3">
      <c r="B688" s="60"/>
      <c r="D688" s="203"/>
      <c r="G688" s="204"/>
      <c r="L688" s="206"/>
    </row>
    <row r="689" spans="2:12" ht="15.75" customHeight="1" x14ac:dyDescent="0.3">
      <c r="B689" s="60"/>
      <c r="D689" s="203"/>
      <c r="G689" s="204"/>
      <c r="L689" s="206"/>
    </row>
    <row r="690" spans="2:12" ht="15.75" customHeight="1" x14ac:dyDescent="0.3">
      <c r="B690" s="60"/>
      <c r="D690" s="203"/>
      <c r="G690" s="204"/>
      <c r="L690" s="206"/>
    </row>
    <row r="691" spans="2:12" ht="15.75" customHeight="1" x14ac:dyDescent="0.3">
      <c r="B691" s="60"/>
      <c r="D691" s="203"/>
      <c r="G691" s="204"/>
      <c r="L691" s="206"/>
    </row>
    <row r="692" spans="2:12" ht="15.75" customHeight="1" x14ac:dyDescent="0.3">
      <c r="B692" s="60"/>
      <c r="D692" s="203"/>
      <c r="G692" s="204"/>
      <c r="L692" s="206"/>
    </row>
    <row r="693" spans="2:12" ht="15.75" customHeight="1" x14ac:dyDescent="0.3">
      <c r="B693" s="60"/>
      <c r="D693" s="203"/>
      <c r="G693" s="204"/>
      <c r="L693" s="206"/>
    </row>
    <row r="694" spans="2:12" ht="15.75" customHeight="1" x14ac:dyDescent="0.3">
      <c r="B694" s="60"/>
      <c r="D694" s="203"/>
      <c r="G694" s="204"/>
      <c r="L694" s="206"/>
    </row>
    <row r="695" spans="2:12" ht="15.75" customHeight="1" x14ac:dyDescent="0.3">
      <c r="B695" s="60"/>
      <c r="D695" s="203"/>
      <c r="G695" s="204"/>
      <c r="L695" s="206"/>
    </row>
    <row r="696" spans="2:12" ht="15.75" customHeight="1" x14ac:dyDescent="0.3">
      <c r="B696" s="60"/>
      <c r="D696" s="203"/>
      <c r="G696" s="204"/>
      <c r="L696" s="206"/>
    </row>
    <row r="697" spans="2:12" ht="15.75" customHeight="1" x14ac:dyDescent="0.3">
      <c r="B697" s="60"/>
      <c r="D697" s="203"/>
      <c r="G697" s="204"/>
      <c r="L697" s="206"/>
    </row>
    <row r="698" spans="2:12" ht="15.75" customHeight="1" x14ac:dyDescent="0.3">
      <c r="B698" s="60"/>
      <c r="D698" s="203"/>
      <c r="G698" s="204"/>
      <c r="L698" s="206"/>
    </row>
    <row r="699" spans="2:12" ht="15.75" customHeight="1" x14ac:dyDescent="0.3">
      <c r="B699" s="60"/>
      <c r="D699" s="203"/>
      <c r="G699" s="204"/>
      <c r="L699" s="206"/>
    </row>
    <row r="700" spans="2:12" ht="15.75" customHeight="1" x14ac:dyDescent="0.3">
      <c r="B700" s="60"/>
      <c r="D700" s="203"/>
      <c r="G700" s="204"/>
      <c r="L700" s="206"/>
    </row>
    <row r="701" spans="2:12" ht="15.75" customHeight="1" x14ac:dyDescent="0.3">
      <c r="B701" s="60"/>
      <c r="D701" s="203"/>
      <c r="G701" s="204"/>
      <c r="L701" s="206"/>
    </row>
    <row r="702" spans="2:12" ht="15.75" customHeight="1" x14ac:dyDescent="0.3">
      <c r="B702" s="60"/>
      <c r="D702" s="203"/>
      <c r="G702" s="204"/>
      <c r="L702" s="206"/>
    </row>
    <row r="703" spans="2:12" ht="15.75" customHeight="1" x14ac:dyDescent="0.3">
      <c r="B703" s="60"/>
      <c r="D703" s="203"/>
      <c r="G703" s="204"/>
      <c r="L703" s="206"/>
    </row>
    <row r="704" spans="2:12" ht="15.75" customHeight="1" x14ac:dyDescent="0.3">
      <c r="B704" s="60"/>
      <c r="D704" s="203"/>
      <c r="G704" s="204"/>
      <c r="L704" s="206"/>
    </row>
    <row r="705" spans="2:12" ht="15.75" customHeight="1" x14ac:dyDescent="0.3">
      <c r="B705" s="60"/>
      <c r="D705" s="203"/>
      <c r="G705" s="204"/>
      <c r="L705" s="206"/>
    </row>
    <row r="706" spans="2:12" ht="15.75" customHeight="1" x14ac:dyDescent="0.3">
      <c r="B706" s="60"/>
      <c r="D706" s="203"/>
      <c r="G706" s="204"/>
      <c r="L706" s="206"/>
    </row>
    <row r="707" spans="2:12" ht="15.75" customHeight="1" x14ac:dyDescent="0.3">
      <c r="B707" s="60"/>
      <c r="D707" s="203"/>
      <c r="G707" s="204"/>
      <c r="L707" s="206"/>
    </row>
    <row r="708" spans="2:12" ht="15.75" customHeight="1" x14ac:dyDescent="0.3">
      <c r="B708" s="60"/>
      <c r="D708" s="203"/>
      <c r="G708" s="204"/>
      <c r="L708" s="206"/>
    </row>
    <row r="709" spans="2:12" ht="15.75" customHeight="1" x14ac:dyDescent="0.3">
      <c r="B709" s="60"/>
      <c r="D709" s="203"/>
      <c r="G709" s="204"/>
      <c r="L709" s="206"/>
    </row>
    <row r="710" spans="2:12" ht="15.75" customHeight="1" x14ac:dyDescent="0.3">
      <c r="B710" s="60"/>
      <c r="D710" s="203"/>
      <c r="G710" s="204"/>
      <c r="L710" s="206"/>
    </row>
    <row r="711" spans="2:12" ht="15.75" customHeight="1" x14ac:dyDescent="0.3">
      <c r="B711" s="60"/>
      <c r="D711" s="203"/>
      <c r="G711" s="204"/>
      <c r="L711" s="206"/>
    </row>
    <row r="712" spans="2:12" ht="15.75" customHeight="1" x14ac:dyDescent="0.3">
      <c r="B712" s="60"/>
      <c r="D712" s="203"/>
      <c r="G712" s="204"/>
      <c r="L712" s="206"/>
    </row>
    <row r="713" spans="2:12" ht="15.75" customHeight="1" x14ac:dyDescent="0.3">
      <c r="B713" s="60"/>
      <c r="D713" s="203"/>
      <c r="G713" s="204"/>
      <c r="L713" s="206"/>
    </row>
    <row r="714" spans="2:12" ht="15.75" customHeight="1" x14ac:dyDescent="0.3">
      <c r="B714" s="60"/>
      <c r="D714" s="203"/>
      <c r="G714" s="204"/>
      <c r="L714" s="206"/>
    </row>
    <row r="715" spans="2:12" ht="15.75" customHeight="1" x14ac:dyDescent="0.3">
      <c r="B715" s="60"/>
      <c r="D715" s="203"/>
      <c r="G715" s="204"/>
      <c r="L715" s="206"/>
    </row>
    <row r="716" spans="2:12" ht="15.75" customHeight="1" x14ac:dyDescent="0.3">
      <c r="B716" s="60"/>
      <c r="D716" s="203"/>
      <c r="G716" s="204"/>
      <c r="L716" s="206"/>
    </row>
    <row r="717" spans="2:12" ht="15.75" customHeight="1" x14ac:dyDescent="0.3">
      <c r="B717" s="60"/>
      <c r="D717" s="203"/>
      <c r="G717" s="204"/>
      <c r="L717" s="206"/>
    </row>
    <row r="718" spans="2:12" ht="15.75" customHeight="1" x14ac:dyDescent="0.3">
      <c r="B718" s="60"/>
      <c r="D718" s="203"/>
      <c r="G718" s="204"/>
      <c r="L718" s="206"/>
    </row>
    <row r="719" spans="2:12" ht="15.75" customHeight="1" x14ac:dyDescent="0.3">
      <c r="B719" s="60"/>
      <c r="D719" s="203"/>
      <c r="G719" s="204"/>
      <c r="L719" s="206"/>
    </row>
    <row r="720" spans="2:12" ht="15.75" customHeight="1" x14ac:dyDescent="0.3">
      <c r="B720" s="60"/>
      <c r="D720" s="203"/>
      <c r="G720" s="204"/>
      <c r="L720" s="206"/>
    </row>
    <row r="721" spans="2:12" ht="15.75" customHeight="1" x14ac:dyDescent="0.3">
      <c r="B721" s="60"/>
      <c r="D721" s="203"/>
      <c r="G721" s="204"/>
      <c r="L721" s="206"/>
    </row>
    <row r="722" spans="2:12" ht="15.75" customHeight="1" x14ac:dyDescent="0.3">
      <c r="B722" s="60"/>
      <c r="D722" s="203"/>
      <c r="G722" s="204"/>
      <c r="L722" s="206"/>
    </row>
    <row r="723" spans="2:12" ht="15.75" customHeight="1" x14ac:dyDescent="0.3">
      <c r="B723" s="60"/>
      <c r="D723" s="203"/>
      <c r="G723" s="204"/>
      <c r="L723" s="206"/>
    </row>
    <row r="724" spans="2:12" ht="15.75" customHeight="1" x14ac:dyDescent="0.3">
      <c r="B724" s="60"/>
      <c r="D724" s="203"/>
      <c r="G724" s="204"/>
      <c r="L724" s="206"/>
    </row>
    <row r="725" spans="2:12" ht="15.75" customHeight="1" x14ac:dyDescent="0.3">
      <c r="B725" s="60"/>
      <c r="D725" s="203"/>
      <c r="G725" s="204"/>
      <c r="L725" s="206"/>
    </row>
    <row r="726" spans="2:12" ht="15.75" customHeight="1" x14ac:dyDescent="0.3">
      <c r="B726" s="60"/>
      <c r="D726" s="203"/>
      <c r="G726" s="204"/>
      <c r="L726" s="206"/>
    </row>
    <row r="727" spans="2:12" ht="15.75" customHeight="1" x14ac:dyDescent="0.3">
      <c r="B727" s="60"/>
      <c r="D727" s="203"/>
      <c r="G727" s="204"/>
      <c r="L727" s="206"/>
    </row>
    <row r="728" spans="2:12" ht="15.75" customHeight="1" x14ac:dyDescent="0.3">
      <c r="B728" s="60"/>
      <c r="D728" s="203"/>
      <c r="G728" s="204"/>
      <c r="L728" s="206"/>
    </row>
    <row r="729" spans="2:12" ht="15.75" customHeight="1" x14ac:dyDescent="0.3">
      <c r="B729" s="60"/>
      <c r="D729" s="203"/>
      <c r="G729" s="204"/>
      <c r="L729" s="206"/>
    </row>
    <row r="730" spans="2:12" ht="15.75" customHeight="1" x14ac:dyDescent="0.3">
      <c r="B730" s="60"/>
      <c r="D730" s="203"/>
      <c r="G730" s="204"/>
      <c r="L730" s="206"/>
    </row>
    <row r="731" spans="2:12" ht="15.75" customHeight="1" x14ac:dyDescent="0.3">
      <c r="B731" s="60"/>
      <c r="D731" s="203"/>
      <c r="G731" s="204"/>
      <c r="L731" s="206"/>
    </row>
    <row r="732" spans="2:12" ht="15.75" customHeight="1" x14ac:dyDescent="0.3">
      <c r="B732" s="60"/>
      <c r="D732" s="203"/>
      <c r="G732" s="204"/>
      <c r="L732" s="206"/>
    </row>
    <row r="733" spans="2:12" ht="15.75" customHeight="1" x14ac:dyDescent="0.3">
      <c r="B733" s="60"/>
      <c r="D733" s="203"/>
      <c r="G733" s="204"/>
      <c r="L733" s="206"/>
    </row>
    <row r="734" spans="2:12" ht="15.75" customHeight="1" x14ac:dyDescent="0.3">
      <c r="B734" s="60"/>
      <c r="D734" s="203"/>
      <c r="G734" s="204"/>
      <c r="L734" s="206"/>
    </row>
    <row r="735" spans="2:12" ht="15.75" customHeight="1" x14ac:dyDescent="0.3">
      <c r="B735" s="60"/>
      <c r="D735" s="203"/>
      <c r="G735" s="204"/>
      <c r="L735" s="206"/>
    </row>
    <row r="736" spans="2:12" ht="15.75" customHeight="1" x14ac:dyDescent="0.3">
      <c r="B736" s="60"/>
      <c r="D736" s="203"/>
      <c r="G736" s="204"/>
      <c r="L736" s="206"/>
    </row>
    <row r="737" spans="2:12" ht="15.75" customHeight="1" x14ac:dyDescent="0.3">
      <c r="B737" s="60"/>
      <c r="D737" s="203"/>
      <c r="G737" s="204"/>
      <c r="L737" s="206"/>
    </row>
    <row r="738" spans="2:12" ht="15.75" customHeight="1" x14ac:dyDescent="0.3">
      <c r="B738" s="60"/>
      <c r="D738" s="203"/>
      <c r="G738" s="204"/>
      <c r="L738" s="206"/>
    </row>
    <row r="739" spans="2:12" ht="15.75" customHeight="1" x14ac:dyDescent="0.3">
      <c r="B739" s="60"/>
      <c r="D739" s="203"/>
      <c r="G739" s="204"/>
      <c r="L739" s="206"/>
    </row>
    <row r="740" spans="2:12" ht="15.75" customHeight="1" x14ac:dyDescent="0.3">
      <c r="B740" s="60"/>
      <c r="D740" s="203"/>
      <c r="G740" s="204"/>
      <c r="L740" s="206"/>
    </row>
    <row r="741" spans="2:12" ht="15.75" customHeight="1" x14ac:dyDescent="0.3">
      <c r="B741" s="60"/>
      <c r="D741" s="203"/>
      <c r="G741" s="204"/>
      <c r="L741" s="206"/>
    </row>
    <row r="742" spans="2:12" ht="15.75" customHeight="1" x14ac:dyDescent="0.3">
      <c r="B742" s="60"/>
      <c r="D742" s="203"/>
      <c r="G742" s="204"/>
      <c r="L742" s="206"/>
    </row>
    <row r="743" spans="2:12" ht="15.75" customHeight="1" x14ac:dyDescent="0.3">
      <c r="B743" s="60"/>
      <c r="D743" s="203"/>
      <c r="G743" s="204"/>
      <c r="L743" s="206"/>
    </row>
    <row r="744" spans="2:12" ht="15.75" customHeight="1" x14ac:dyDescent="0.3">
      <c r="B744" s="60"/>
      <c r="D744" s="203"/>
      <c r="G744" s="204"/>
      <c r="L744" s="206"/>
    </row>
    <row r="745" spans="2:12" ht="15.75" customHeight="1" x14ac:dyDescent="0.3">
      <c r="B745" s="60"/>
      <c r="D745" s="203"/>
      <c r="G745" s="204"/>
      <c r="L745" s="206"/>
    </row>
    <row r="746" spans="2:12" ht="15.75" customHeight="1" x14ac:dyDescent="0.3">
      <c r="B746" s="60"/>
      <c r="D746" s="203"/>
      <c r="G746" s="204"/>
      <c r="L746" s="206"/>
    </row>
    <row r="747" spans="2:12" ht="15.75" customHeight="1" x14ac:dyDescent="0.3">
      <c r="B747" s="60"/>
      <c r="D747" s="203"/>
      <c r="G747" s="204"/>
      <c r="L747" s="206"/>
    </row>
    <row r="748" spans="2:12" ht="15.75" customHeight="1" x14ac:dyDescent="0.3">
      <c r="B748" s="60"/>
      <c r="D748" s="203"/>
      <c r="G748" s="204"/>
      <c r="L748" s="206"/>
    </row>
    <row r="749" spans="2:12" ht="15.75" customHeight="1" x14ac:dyDescent="0.3">
      <c r="B749" s="60"/>
      <c r="D749" s="203"/>
      <c r="G749" s="204"/>
      <c r="L749" s="206"/>
    </row>
    <row r="750" spans="2:12" ht="15.75" customHeight="1" x14ac:dyDescent="0.3">
      <c r="B750" s="60"/>
      <c r="D750" s="203"/>
      <c r="G750" s="204"/>
      <c r="L750" s="206"/>
    </row>
    <row r="751" spans="2:12" ht="15.75" customHeight="1" x14ac:dyDescent="0.3">
      <c r="B751" s="60"/>
      <c r="D751" s="203"/>
      <c r="G751" s="204"/>
      <c r="L751" s="206"/>
    </row>
    <row r="752" spans="2:12" ht="15.75" customHeight="1" x14ac:dyDescent="0.3">
      <c r="B752" s="60"/>
      <c r="D752" s="203"/>
      <c r="G752" s="204"/>
      <c r="L752" s="206"/>
    </row>
    <row r="753" spans="2:12" ht="15.75" customHeight="1" x14ac:dyDescent="0.3">
      <c r="B753" s="60"/>
      <c r="D753" s="203"/>
      <c r="G753" s="204"/>
      <c r="L753" s="206"/>
    </row>
    <row r="754" spans="2:12" ht="15.75" customHeight="1" x14ac:dyDescent="0.3">
      <c r="B754" s="60"/>
      <c r="D754" s="203"/>
      <c r="G754" s="204"/>
      <c r="L754" s="206"/>
    </row>
    <row r="755" spans="2:12" ht="15.75" customHeight="1" x14ac:dyDescent="0.3">
      <c r="B755" s="60"/>
      <c r="D755" s="203"/>
      <c r="G755" s="204"/>
      <c r="L755" s="206"/>
    </row>
    <row r="756" spans="2:12" ht="15.75" customHeight="1" x14ac:dyDescent="0.3">
      <c r="B756" s="60"/>
      <c r="D756" s="203"/>
      <c r="G756" s="204"/>
      <c r="L756" s="206"/>
    </row>
    <row r="757" spans="2:12" ht="15.75" customHeight="1" x14ac:dyDescent="0.3">
      <c r="B757" s="60"/>
      <c r="D757" s="203"/>
      <c r="G757" s="204"/>
      <c r="L757" s="206"/>
    </row>
    <row r="758" spans="2:12" ht="15.75" customHeight="1" x14ac:dyDescent="0.3">
      <c r="B758" s="60"/>
      <c r="D758" s="203"/>
      <c r="G758" s="204"/>
      <c r="L758" s="206"/>
    </row>
    <row r="759" spans="2:12" ht="15.75" customHeight="1" x14ac:dyDescent="0.3">
      <c r="B759" s="60"/>
      <c r="D759" s="203"/>
      <c r="G759" s="204"/>
      <c r="L759" s="206"/>
    </row>
    <row r="760" spans="2:12" ht="15.75" customHeight="1" x14ac:dyDescent="0.3">
      <c r="B760" s="60"/>
      <c r="D760" s="203"/>
      <c r="G760" s="204"/>
      <c r="L760" s="206"/>
    </row>
    <row r="761" spans="2:12" ht="15.75" customHeight="1" x14ac:dyDescent="0.3">
      <c r="B761" s="60"/>
      <c r="D761" s="203"/>
      <c r="G761" s="204"/>
      <c r="L761" s="206"/>
    </row>
    <row r="762" spans="2:12" ht="15.75" customHeight="1" x14ac:dyDescent="0.3">
      <c r="B762" s="60"/>
      <c r="D762" s="203"/>
      <c r="G762" s="204"/>
      <c r="L762" s="206"/>
    </row>
    <row r="763" spans="2:12" ht="15.75" customHeight="1" x14ac:dyDescent="0.3">
      <c r="B763" s="60"/>
      <c r="D763" s="203"/>
      <c r="G763" s="204"/>
      <c r="L763" s="206"/>
    </row>
    <row r="764" spans="2:12" ht="15.75" customHeight="1" x14ac:dyDescent="0.3">
      <c r="B764" s="60"/>
      <c r="D764" s="203"/>
      <c r="G764" s="204"/>
      <c r="L764" s="206"/>
    </row>
    <row r="765" spans="2:12" ht="15.75" customHeight="1" x14ac:dyDescent="0.3">
      <c r="B765" s="60"/>
      <c r="D765" s="203"/>
      <c r="G765" s="204"/>
      <c r="L765" s="206"/>
    </row>
    <row r="766" spans="2:12" ht="15.75" customHeight="1" x14ac:dyDescent="0.3">
      <c r="B766" s="60"/>
      <c r="D766" s="203"/>
      <c r="G766" s="204"/>
      <c r="L766" s="206"/>
    </row>
    <row r="767" spans="2:12" ht="15.75" customHeight="1" x14ac:dyDescent="0.3">
      <c r="B767" s="60"/>
      <c r="D767" s="203"/>
      <c r="G767" s="204"/>
      <c r="L767" s="206"/>
    </row>
    <row r="768" spans="2:12" ht="15.75" customHeight="1" x14ac:dyDescent="0.3">
      <c r="B768" s="60"/>
      <c r="D768" s="203"/>
      <c r="G768" s="204"/>
      <c r="L768" s="206"/>
    </row>
    <row r="769" spans="2:12" ht="15.75" customHeight="1" x14ac:dyDescent="0.3">
      <c r="B769" s="60"/>
      <c r="D769" s="203"/>
      <c r="G769" s="204"/>
      <c r="L769" s="206"/>
    </row>
    <row r="770" spans="2:12" ht="15.75" customHeight="1" x14ac:dyDescent="0.3">
      <c r="B770" s="60"/>
      <c r="D770" s="203"/>
      <c r="G770" s="204"/>
      <c r="L770" s="206"/>
    </row>
    <row r="771" spans="2:12" ht="15.75" customHeight="1" x14ac:dyDescent="0.3">
      <c r="B771" s="60"/>
      <c r="D771" s="203"/>
      <c r="G771" s="204"/>
      <c r="L771" s="206"/>
    </row>
    <row r="772" spans="2:12" ht="15.75" customHeight="1" x14ac:dyDescent="0.3">
      <c r="B772" s="60"/>
      <c r="D772" s="203"/>
      <c r="G772" s="204"/>
      <c r="L772" s="206"/>
    </row>
    <row r="773" spans="2:12" ht="15.75" customHeight="1" x14ac:dyDescent="0.3">
      <c r="B773" s="60"/>
      <c r="D773" s="203"/>
      <c r="G773" s="204"/>
      <c r="L773" s="206"/>
    </row>
    <row r="774" spans="2:12" ht="15.75" customHeight="1" x14ac:dyDescent="0.3">
      <c r="B774" s="60"/>
      <c r="D774" s="203"/>
      <c r="G774" s="204"/>
      <c r="L774" s="206"/>
    </row>
    <row r="775" spans="2:12" ht="15.75" customHeight="1" x14ac:dyDescent="0.3">
      <c r="B775" s="60"/>
      <c r="D775" s="203"/>
      <c r="G775" s="204"/>
      <c r="L775" s="206"/>
    </row>
    <row r="776" spans="2:12" ht="15.75" customHeight="1" x14ac:dyDescent="0.3">
      <c r="B776" s="60"/>
      <c r="D776" s="203"/>
      <c r="G776" s="204"/>
      <c r="L776" s="206"/>
    </row>
    <row r="777" spans="2:12" ht="15.75" customHeight="1" x14ac:dyDescent="0.3">
      <c r="B777" s="60"/>
      <c r="D777" s="203"/>
      <c r="G777" s="204"/>
      <c r="L777" s="206"/>
    </row>
    <row r="778" spans="2:12" ht="15.75" customHeight="1" x14ac:dyDescent="0.3">
      <c r="B778" s="60"/>
      <c r="D778" s="203"/>
      <c r="G778" s="204"/>
      <c r="L778" s="206"/>
    </row>
    <row r="779" spans="2:12" ht="15.75" customHeight="1" x14ac:dyDescent="0.3">
      <c r="B779" s="60"/>
      <c r="D779" s="203"/>
      <c r="G779" s="204"/>
      <c r="L779" s="206"/>
    </row>
    <row r="780" spans="2:12" ht="15.75" customHeight="1" x14ac:dyDescent="0.3">
      <c r="B780" s="60"/>
      <c r="D780" s="203"/>
      <c r="G780" s="204"/>
      <c r="L780" s="206"/>
    </row>
    <row r="781" spans="2:12" ht="15.75" customHeight="1" x14ac:dyDescent="0.3">
      <c r="B781" s="60"/>
      <c r="D781" s="203"/>
      <c r="G781" s="204"/>
      <c r="L781" s="206"/>
    </row>
    <row r="782" spans="2:12" ht="15.75" customHeight="1" x14ac:dyDescent="0.3">
      <c r="B782" s="60"/>
      <c r="D782" s="203"/>
      <c r="G782" s="204"/>
      <c r="L782" s="206"/>
    </row>
    <row r="783" spans="2:12" ht="15.75" customHeight="1" x14ac:dyDescent="0.3">
      <c r="B783" s="60"/>
      <c r="D783" s="203"/>
      <c r="G783" s="204"/>
      <c r="L783" s="206"/>
    </row>
    <row r="784" spans="2:12" ht="15.75" customHeight="1" x14ac:dyDescent="0.3">
      <c r="B784" s="60"/>
      <c r="D784" s="203"/>
      <c r="G784" s="204"/>
      <c r="L784" s="206"/>
    </row>
    <row r="785" spans="2:12" ht="15.75" customHeight="1" x14ac:dyDescent="0.3">
      <c r="B785" s="60"/>
      <c r="D785" s="203"/>
      <c r="G785" s="204"/>
      <c r="L785" s="206"/>
    </row>
    <row r="786" spans="2:12" ht="15.75" customHeight="1" x14ac:dyDescent="0.3">
      <c r="B786" s="60"/>
      <c r="D786" s="203"/>
      <c r="G786" s="204"/>
      <c r="L786" s="206"/>
    </row>
    <row r="787" spans="2:12" ht="15.75" customHeight="1" x14ac:dyDescent="0.3">
      <c r="B787" s="60"/>
      <c r="D787" s="203"/>
      <c r="G787" s="204"/>
      <c r="L787" s="206"/>
    </row>
    <row r="788" spans="2:12" ht="15.75" customHeight="1" x14ac:dyDescent="0.3">
      <c r="B788" s="60"/>
      <c r="D788" s="203"/>
      <c r="G788" s="204"/>
      <c r="L788" s="206"/>
    </row>
    <row r="789" spans="2:12" ht="15.75" customHeight="1" x14ac:dyDescent="0.3">
      <c r="B789" s="60"/>
      <c r="D789" s="203"/>
      <c r="G789" s="204"/>
      <c r="L789" s="206"/>
    </row>
    <row r="790" spans="2:12" ht="15.75" customHeight="1" x14ac:dyDescent="0.3">
      <c r="B790" s="60"/>
      <c r="D790" s="203"/>
      <c r="G790" s="204"/>
      <c r="L790" s="206"/>
    </row>
    <row r="791" spans="2:12" ht="15.75" customHeight="1" x14ac:dyDescent="0.3">
      <c r="B791" s="60"/>
      <c r="D791" s="203"/>
      <c r="G791" s="204"/>
      <c r="L791" s="206"/>
    </row>
    <row r="792" spans="2:12" ht="15.75" customHeight="1" x14ac:dyDescent="0.3">
      <c r="B792" s="60"/>
      <c r="D792" s="203"/>
      <c r="G792" s="204"/>
      <c r="L792" s="206"/>
    </row>
    <row r="793" spans="2:12" ht="15.75" customHeight="1" x14ac:dyDescent="0.3">
      <c r="B793" s="60"/>
      <c r="D793" s="203"/>
      <c r="G793" s="204"/>
      <c r="L793" s="206"/>
    </row>
    <row r="794" spans="2:12" ht="15.75" customHeight="1" x14ac:dyDescent="0.3">
      <c r="B794" s="60"/>
      <c r="D794" s="203"/>
      <c r="G794" s="204"/>
      <c r="L794" s="206"/>
    </row>
    <row r="795" spans="2:12" ht="15.75" customHeight="1" x14ac:dyDescent="0.3">
      <c r="B795" s="60"/>
      <c r="D795" s="203"/>
      <c r="G795" s="204"/>
      <c r="L795" s="206"/>
    </row>
    <row r="796" spans="2:12" ht="15.75" customHeight="1" x14ac:dyDescent="0.3">
      <c r="B796" s="60"/>
      <c r="D796" s="203"/>
      <c r="G796" s="204"/>
      <c r="L796" s="206"/>
    </row>
    <row r="797" spans="2:12" ht="15.75" customHeight="1" x14ac:dyDescent="0.3">
      <c r="B797" s="60"/>
      <c r="D797" s="203"/>
      <c r="G797" s="204"/>
      <c r="L797" s="206"/>
    </row>
    <row r="798" spans="2:12" ht="15.75" customHeight="1" x14ac:dyDescent="0.3">
      <c r="B798" s="60"/>
      <c r="D798" s="203"/>
      <c r="G798" s="204"/>
      <c r="L798" s="206"/>
    </row>
    <row r="799" spans="2:12" ht="15.75" customHeight="1" x14ac:dyDescent="0.3">
      <c r="B799" s="60"/>
      <c r="D799" s="203"/>
      <c r="G799" s="204"/>
      <c r="L799" s="206"/>
    </row>
    <row r="800" spans="2:12" ht="15.75" customHeight="1" x14ac:dyDescent="0.3">
      <c r="B800" s="60"/>
      <c r="D800" s="203"/>
      <c r="G800" s="204"/>
      <c r="L800" s="206"/>
    </row>
    <row r="801" spans="2:12" ht="15.75" customHeight="1" x14ac:dyDescent="0.3">
      <c r="B801" s="60"/>
      <c r="D801" s="203"/>
      <c r="G801" s="204"/>
      <c r="L801" s="206"/>
    </row>
    <row r="802" spans="2:12" ht="15.75" customHeight="1" x14ac:dyDescent="0.3">
      <c r="B802" s="60"/>
      <c r="D802" s="203"/>
      <c r="G802" s="204"/>
      <c r="L802" s="206"/>
    </row>
    <row r="803" spans="2:12" ht="15.75" customHeight="1" x14ac:dyDescent="0.3">
      <c r="B803" s="60"/>
      <c r="D803" s="203"/>
      <c r="G803" s="204"/>
      <c r="L803" s="206"/>
    </row>
    <row r="804" spans="2:12" ht="15.75" customHeight="1" x14ac:dyDescent="0.3">
      <c r="B804" s="60"/>
      <c r="D804" s="203"/>
      <c r="G804" s="204"/>
      <c r="L804" s="206"/>
    </row>
    <row r="805" spans="2:12" ht="15.75" customHeight="1" x14ac:dyDescent="0.3">
      <c r="B805" s="60"/>
      <c r="D805" s="203"/>
      <c r="G805" s="204"/>
      <c r="L805" s="206"/>
    </row>
    <row r="806" spans="2:12" ht="15.75" customHeight="1" x14ac:dyDescent="0.3">
      <c r="B806" s="60"/>
      <c r="D806" s="203"/>
      <c r="G806" s="204"/>
      <c r="L806" s="206"/>
    </row>
    <row r="807" spans="2:12" ht="15.75" customHeight="1" x14ac:dyDescent="0.3">
      <c r="B807" s="60"/>
      <c r="D807" s="203"/>
      <c r="G807" s="204"/>
      <c r="L807" s="206"/>
    </row>
    <row r="808" spans="2:12" ht="15.75" customHeight="1" x14ac:dyDescent="0.3">
      <c r="B808" s="60"/>
      <c r="D808" s="203"/>
      <c r="G808" s="204"/>
      <c r="L808" s="206"/>
    </row>
    <row r="809" spans="2:12" ht="15.75" customHeight="1" x14ac:dyDescent="0.3">
      <c r="B809" s="60"/>
      <c r="D809" s="203"/>
      <c r="G809" s="204"/>
      <c r="L809" s="206"/>
    </row>
    <row r="810" spans="2:12" ht="15.75" customHeight="1" x14ac:dyDescent="0.3">
      <c r="B810" s="60"/>
      <c r="D810" s="203"/>
      <c r="G810" s="204"/>
      <c r="L810" s="206"/>
    </row>
    <row r="811" spans="2:12" ht="15.75" customHeight="1" x14ac:dyDescent="0.3">
      <c r="B811" s="60"/>
      <c r="D811" s="203"/>
      <c r="G811" s="204"/>
      <c r="L811" s="206"/>
    </row>
    <row r="812" spans="2:12" ht="15.75" customHeight="1" x14ac:dyDescent="0.3">
      <c r="B812" s="60"/>
      <c r="D812" s="203"/>
      <c r="G812" s="204"/>
      <c r="L812" s="206"/>
    </row>
    <row r="813" spans="2:12" ht="15.75" customHeight="1" x14ac:dyDescent="0.3">
      <c r="B813" s="60"/>
      <c r="D813" s="203"/>
      <c r="G813" s="204"/>
      <c r="L813" s="206"/>
    </row>
    <row r="814" spans="2:12" ht="15.75" customHeight="1" x14ac:dyDescent="0.3">
      <c r="B814" s="60"/>
      <c r="D814" s="203"/>
      <c r="G814" s="204"/>
      <c r="L814" s="206"/>
    </row>
    <row r="815" spans="2:12" ht="15.75" customHeight="1" x14ac:dyDescent="0.3">
      <c r="B815" s="60"/>
      <c r="D815" s="203"/>
      <c r="G815" s="204"/>
      <c r="L815" s="206"/>
    </row>
    <row r="816" spans="2:12" ht="15.75" customHeight="1" x14ac:dyDescent="0.3">
      <c r="B816" s="60"/>
      <c r="D816" s="203"/>
      <c r="G816" s="204"/>
      <c r="L816" s="206"/>
    </row>
    <row r="817" spans="2:12" ht="15.75" customHeight="1" x14ac:dyDescent="0.3">
      <c r="B817" s="60"/>
      <c r="D817" s="203"/>
      <c r="G817" s="204"/>
      <c r="L817" s="206"/>
    </row>
    <row r="818" spans="2:12" ht="15.75" customHeight="1" x14ac:dyDescent="0.3">
      <c r="B818" s="60"/>
      <c r="D818" s="203"/>
      <c r="G818" s="204"/>
      <c r="L818" s="206"/>
    </row>
    <row r="819" spans="2:12" ht="15.75" customHeight="1" x14ac:dyDescent="0.3">
      <c r="B819" s="60"/>
      <c r="D819" s="203"/>
      <c r="G819" s="204"/>
      <c r="L819" s="206"/>
    </row>
    <row r="820" spans="2:12" ht="15.75" customHeight="1" x14ac:dyDescent="0.3">
      <c r="B820" s="60"/>
      <c r="D820" s="203"/>
      <c r="G820" s="204"/>
      <c r="L820" s="206"/>
    </row>
    <row r="821" spans="2:12" ht="15.75" customHeight="1" x14ac:dyDescent="0.3">
      <c r="B821" s="60"/>
      <c r="D821" s="203"/>
      <c r="G821" s="204"/>
      <c r="L821" s="206"/>
    </row>
    <row r="822" spans="2:12" ht="15.75" customHeight="1" x14ac:dyDescent="0.3">
      <c r="B822" s="60"/>
      <c r="D822" s="203"/>
      <c r="G822" s="204"/>
      <c r="L822" s="206"/>
    </row>
    <row r="823" spans="2:12" ht="15.75" customHeight="1" x14ac:dyDescent="0.3">
      <c r="B823" s="60"/>
      <c r="D823" s="203"/>
      <c r="G823" s="204"/>
      <c r="L823" s="206"/>
    </row>
    <row r="824" spans="2:12" ht="15.75" customHeight="1" x14ac:dyDescent="0.3">
      <c r="B824" s="60"/>
      <c r="D824" s="203"/>
      <c r="G824" s="204"/>
      <c r="L824" s="206"/>
    </row>
    <row r="825" spans="2:12" ht="15.75" customHeight="1" x14ac:dyDescent="0.3">
      <c r="B825" s="60"/>
      <c r="D825" s="203"/>
      <c r="G825" s="204"/>
      <c r="L825" s="206"/>
    </row>
    <row r="826" spans="2:12" ht="15.75" customHeight="1" x14ac:dyDescent="0.3">
      <c r="B826" s="60"/>
      <c r="D826" s="203"/>
      <c r="G826" s="204"/>
      <c r="L826" s="206"/>
    </row>
    <row r="827" spans="2:12" ht="15.75" customHeight="1" x14ac:dyDescent="0.3">
      <c r="B827" s="60"/>
      <c r="D827" s="203"/>
      <c r="G827" s="204"/>
      <c r="L827" s="206"/>
    </row>
    <row r="828" spans="2:12" ht="15.75" customHeight="1" x14ac:dyDescent="0.3">
      <c r="B828" s="60"/>
      <c r="D828" s="203"/>
      <c r="G828" s="204"/>
      <c r="L828" s="206"/>
    </row>
    <row r="829" spans="2:12" ht="15.75" customHeight="1" x14ac:dyDescent="0.3">
      <c r="B829" s="60"/>
      <c r="D829" s="203"/>
      <c r="G829" s="204"/>
      <c r="L829" s="206"/>
    </row>
    <row r="830" spans="2:12" ht="15.75" customHeight="1" x14ac:dyDescent="0.3">
      <c r="B830" s="60"/>
      <c r="D830" s="203"/>
      <c r="G830" s="204"/>
      <c r="L830" s="206"/>
    </row>
    <row r="831" spans="2:12" ht="15.75" customHeight="1" x14ac:dyDescent="0.3">
      <c r="B831" s="60"/>
      <c r="D831" s="203"/>
      <c r="G831" s="204"/>
      <c r="L831" s="206"/>
    </row>
    <row r="832" spans="2:12" ht="15.75" customHeight="1" x14ac:dyDescent="0.3">
      <c r="B832" s="60"/>
      <c r="D832" s="203"/>
      <c r="G832" s="204"/>
      <c r="L832" s="206"/>
    </row>
    <row r="833" spans="2:12" ht="15.75" customHeight="1" x14ac:dyDescent="0.3">
      <c r="B833" s="60"/>
      <c r="D833" s="203"/>
      <c r="G833" s="204"/>
      <c r="L833" s="206"/>
    </row>
    <row r="834" spans="2:12" ht="15.75" customHeight="1" x14ac:dyDescent="0.3">
      <c r="B834" s="60"/>
      <c r="D834" s="203"/>
      <c r="G834" s="204"/>
      <c r="L834" s="206"/>
    </row>
    <row r="835" spans="2:12" ht="15.75" customHeight="1" x14ac:dyDescent="0.3">
      <c r="B835" s="60"/>
      <c r="D835" s="203"/>
      <c r="G835" s="204"/>
      <c r="L835" s="206"/>
    </row>
    <row r="836" spans="2:12" ht="15.75" customHeight="1" x14ac:dyDescent="0.3">
      <c r="B836" s="60"/>
      <c r="D836" s="203"/>
      <c r="G836" s="204"/>
      <c r="L836" s="206"/>
    </row>
    <row r="837" spans="2:12" ht="15.75" customHeight="1" x14ac:dyDescent="0.3">
      <c r="B837" s="60"/>
      <c r="D837" s="203"/>
      <c r="G837" s="204"/>
      <c r="L837" s="206"/>
    </row>
    <row r="838" spans="2:12" ht="15.75" customHeight="1" x14ac:dyDescent="0.3">
      <c r="B838" s="60"/>
      <c r="D838" s="203"/>
      <c r="G838" s="204"/>
      <c r="L838" s="206"/>
    </row>
    <row r="839" spans="2:12" ht="15.75" customHeight="1" x14ac:dyDescent="0.3">
      <c r="B839" s="60"/>
      <c r="D839" s="203"/>
      <c r="G839" s="204"/>
      <c r="L839" s="206"/>
    </row>
    <row r="840" spans="2:12" ht="15.75" customHeight="1" x14ac:dyDescent="0.3">
      <c r="B840" s="60"/>
      <c r="D840" s="203"/>
      <c r="G840" s="204"/>
      <c r="L840" s="206"/>
    </row>
    <row r="841" spans="2:12" ht="15.75" customHeight="1" x14ac:dyDescent="0.3">
      <c r="B841" s="60"/>
      <c r="D841" s="203"/>
      <c r="G841" s="204"/>
      <c r="L841" s="206"/>
    </row>
    <row r="842" spans="2:12" ht="15.75" customHeight="1" x14ac:dyDescent="0.3">
      <c r="B842" s="60"/>
      <c r="D842" s="203"/>
      <c r="G842" s="204"/>
      <c r="L842" s="206"/>
    </row>
    <row r="843" spans="2:12" ht="15.75" customHeight="1" x14ac:dyDescent="0.3">
      <c r="B843" s="60"/>
      <c r="D843" s="203"/>
      <c r="G843" s="204"/>
      <c r="L843" s="206"/>
    </row>
    <row r="844" spans="2:12" ht="15.75" customHeight="1" x14ac:dyDescent="0.3">
      <c r="B844" s="60"/>
      <c r="D844" s="203"/>
      <c r="G844" s="204"/>
      <c r="L844" s="206"/>
    </row>
    <row r="845" spans="2:12" ht="15.75" customHeight="1" x14ac:dyDescent="0.3">
      <c r="B845" s="60"/>
      <c r="D845" s="203"/>
      <c r="G845" s="204"/>
      <c r="L845" s="206"/>
    </row>
    <row r="846" spans="2:12" ht="15.75" customHeight="1" x14ac:dyDescent="0.3">
      <c r="B846" s="60"/>
      <c r="D846" s="203"/>
      <c r="G846" s="204"/>
      <c r="L846" s="206"/>
    </row>
    <row r="847" spans="2:12" ht="15.75" customHeight="1" x14ac:dyDescent="0.3">
      <c r="B847" s="60"/>
      <c r="D847" s="203"/>
      <c r="G847" s="204"/>
      <c r="L847" s="206"/>
    </row>
    <row r="848" spans="2:12" ht="15.75" customHeight="1" x14ac:dyDescent="0.3">
      <c r="B848" s="60"/>
      <c r="D848" s="203"/>
      <c r="G848" s="204"/>
      <c r="L848" s="206"/>
    </row>
    <row r="849" spans="2:12" ht="15.75" customHeight="1" x14ac:dyDescent="0.3">
      <c r="B849" s="60"/>
      <c r="D849" s="203"/>
      <c r="G849" s="204"/>
      <c r="L849" s="206"/>
    </row>
    <row r="850" spans="2:12" ht="15.75" customHeight="1" x14ac:dyDescent="0.3">
      <c r="B850" s="60"/>
      <c r="D850" s="203"/>
      <c r="G850" s="204"/>
      <c r="L850" s="206"/>
    </row>
    <row r="851" spans="2:12" ht="15.75" customHeight="1" x14ac:dyDescent="0.3">
      <c r="B851" s="60"/>
      <c r="D851" s="203"/>
      <c r="G851" s="204"/>
      <c r="L851" s="206"/>
    </row>
    <row r="852" spans="2:12" ht="15.75" customHeight="1" x14ac:dyDescent="0.3">
      <c r="B852" s="60"/>
      <c r="D852" s="203"/>
      <c r="G852" s="204"/>
      <c r="L852" s="206"/>
    </row>
    <row r="853" spans="2:12" ht="15.75" customHeight="1" x14ac:dyDescent="0.3">
      <c r="B853" s="60"/>
      <c r="D853" s="203"/>
      <c r="G853" s="204"/>
      <c r="L853" s="206"/>
    </row>
    <row r="854" spans="2:12" ht="15.75" customHeight="1" x14ac:dyDescent="0.3">
      <c r="B854" s="60"/>
      <c r="D854" s="203"/>
      <c r="G854" s="204"/>
      <c r="L854" s="206"/>
    </row>
    <row r="855" spans="2:12" ht="15.75" customHeight="1" x14ac:dyDescent="0.3">
      <c r="B855" s="60"/>
      <c r="D855" s="203"/>
      <c r="G855" s="204"/>
      <c r="L855" s="206"/>
    </row>
    <row r="856" spans="2:12" ht="15.75" customHeight="1" x14ac:dyDescent="0.3">
      <c r="B856" s="60"/>
      <c r="D856" s="203"/>
      <c r="G856" s="204"/>
      <c r="L856" s="206"/>
    </row>
    <row r="857" spans="2:12" ht="15.75" customHeight="1" x14ac:dyDescent="0.3">
      <c r="B857" s="60"/>
      <c r="D857" s="203"/>
      <c r="G857" s="204"/>
      <c r="L857" s="206"/>
    </row>
    <row r="858" spans="2:12" ht="15.75" customHeight="1" x14ac:dyDescent="0.3">
      <c r="B858" s="60"/>
      <c r="D858" s="203"/>
      <c r="G858" s="204"/>
      <c r="L858" s="206"/>
    </row>
    <row r="859" spans="2:12" ht="15.75" customHeight="1" x14ac:dyDescent="0.3">
      <c r="B859" s="60"/>
      <c r="D859" s="203"/>
      <c r="G859" s="204"/>
      <c r="L859" s="206"/>
    </row>
    <row r="860" spans="2:12" ht="15.75" customHeight="1" x14ac:dyDescent="0.3">
      <c r="B860" s="60"/>
      <c r="D860" s="203"/>
      <c r="G860" s="204"/>
      <c r="L860" s="206"/>
    </row>
    <row r="861" spans="2:12" ht="15.75" customHeight="1" x14ac:dyDescent="0.3">
      <c r="B861" s="60"/>
      <c r="D861" s="203"/>
      <c r="G861" s="204"/>
      <c r="L861" s="206"/>
    </row>
    <row r="862" spans="2:12" ht="15.75" customHeight="1" x14ac:dyDescent="0.3">
      <c r="B862" s="60"/>
      <c r="D862" s="203"/>
      <c r="G862" s="204"/>
      <c r="L862" s="206"/>
    </row>
    <row r="863" spans="2:12" ht="15.75" customHeight="1" x14ac:dyDescent="0.3">
      <c r="B863" s="60"/>
      <c r="D863" s="203"/>
      <c r="G863" s="204"/>
      <c r="L863" s="206"/>
    </row>
    <row r="864" spans="2:12" ht="15.75" customHeight="1" x14ac:dyDescent="0.3">
      <c r="B864" s="60"/>
      <c r="D864" s="203"/>
      <c r="G864" s="204"/>
      <c r="L864" s="206"/>
    </row>
    <row r="865" spans="2:12" ht="15.75" customHeight="1" x14ac:dyDescent="0.3">
      <c r="B865" s="60"/>
      <c r="D865" s="203"/>
      <c r="G865" s="204"/>
      <c r="L865" s="206"/>
    </row>
    <row r="866" spans="2:12" ht="15.75" customHeight="1" x14ac:dyDescent="0.3">
      <c r="B866" s="60"/>
      <c r="D866" s="203"/>
      <c r="G866" s="204"/>
      <c r="L866" s="206"/>
    </row>
    <row r="867" spans="2:12" ht="15.75" customHeight="1" x14ac:dyDescent="0.3">
      <c r="B867" s="60"/>
      <c r="D867" s="203"/>
      <c r="G867" s="204"/>
      <c r="L867" s="206"/>
    </row>
    <row r="868" spans="2:12" ht="15.75" customHeight="1" x14ac:dyDescent="0.3">
      <c r="B868" s="60"/>
      <c r="D868" s="203"/>
      <c r="G868" s="204"/>
      <c r="L868" s="206"/>
    </row>
    <row r="869" spans="2:12" ht="15.75" customHeight="1" x14ac:dyDescent="0.3">
      <c r="B869" s="60"/>
      <c r="D869" s="203"/>
      <c r="G869" s="204"/>
      <c r="L869" s="206"/>
    </row>
    <row r="870" spans="2:12" ht="15.75" customHeight="1" x14ac:dyDescent="0.3">
      <c r="B870" s="60"/>
      <c r="D870" s="203"/>
      <c r="G870" s="204"/>
      <c r="L870" s="206"/>
    </row>
    <row r="871" spans="2:12" ht="15.75" customHeight="1" x14ac:dyDescent="0.3">
      <c r="B871" s="60"/>
      <c r="D871" s="203"/>
      <c r="G871" s="204"/>
      <c r="L871" s="206"/>
    </row>
    <row r="872" spans="2:12" ht="15.75" customHeight="1" x14ac:dyDescent="0.3">
      <c r="B872" s="60"/>
      <c r="D872" s="203"/>
      <c r="G872" s="204"/>
      <c r="L872" s="206"/>
    </row>
    <row r="873" spans="2:12" ht="15.75" customHeight="1" x14ac:dyDescent="0.3">
      <c r="B873" s="60"/>
      <c r="D873" s="203"/>
      <c r="G873" s="204"/>
      <c r="L873" s="206"/>
    </row>
    <row r="874" spans="2:12" ht="15.75" customHeight="1" x14ac:dyDescent="0.3">
      <c r="B874" s="60"/>
      <c r="D874" s="203"/>
      <c r="G874" s="204"/>
      <c r="L874" s="206"/>
    </row>
    <row r="875" spans="2:12" ht="15.75" customHeight="1" x14ac:dyDescent="0.3">
      <c r="B875" s="60"/>
      <c r="D875" s="203"/>
      <c r="G875" s="204"/>
      <c r="L875" s="206"/>
    </row>
    <row r="876" spans="2:12" ht="15.75" customHeight="1" x14ac:dyDescent="0.3">
      <c r="B876" s="60"/>
      <c r="D876" s="203"/>
      <c r="G876" s="204"/>
      <c r="L876" s="206"/>
    </row>
    <row r="877" spans="2:12" ht="15.75" customHeight="1" x14ac:dyDescent="0.3">
      <c r="B877" s="60"/>
      <c r="D877" s="203"/>
      <c r="G877" s="204"/>
      <c r="L877" s="206"/>
    </row>
    <row r="878" spans="2:12" ht="15.75" customHeight="1" x14ac:dyDescent="0.3">
      <c r="B878" s="60"/>
      <c r="D878" s="203"/>
      <c r="G878" s="204"/>
      <c r="L878" s="206"/>
    </row>
    <row r="879" spans="2:12" ht="15.75" customHeight="1" x14ac:dyDescent="0.3">
      <c r="B879" s="60"/>
      <c r="D879" s="203"/>
      <c r="G879" s="204"/>
      <c r="L879" s="206"/>
    </row>
    <row r="880" spans="2:12" ht="15.75" customHeight="1" x14ac:dyDescent="0.3">
      <c r="B880" s="60"/>
      <c r="D880" s="203"/>
      <c r="G880" s="204"/>
      <c r="L880" s="206"/>
    </row>
    <row r="881" spans="2:12" ht="15.75" customHeight="1" x14ac:dyDescent="0.3">
      <c r="B881" s="60"/>
      <c r="D881" s="203"/>
      <c r="G881" s="204"/>
      <c r="L881" s="206"/>
    </row>
    <row r="882" spans="2:12" ht="15.75" customHeight="1" x14ac:dyDescent="0.3">
      <c r="B882" s="60"/>
      <c r="D882" s="203"/>
      <c r="G882" s="204"/>
      <c r="L882" s="206"/>
    </row>
    <row r="883" spans="2:12" ht="15.75" customHeight="1" x14ac:dyDescent="0.3">
      <c r="B883" s="60"/>
      <c r="D883" s="203"/>
      <c r="G883" s="204"/>
      <c r="L883" s="206"/>
    </row>
    <row r="884" spans="2:12" ht="15.75" customHeight="1" x14ac:dyDescent="0.3">
      <c r="B884" s="60"/>
      <c r="D884" s="203"/>
      <c r="G884" s="204"/>
      <c r="L884" s="206"/>
    </row>
    <row r="885" spans="2:12" ht="15.75" customHeight="1" x14ac:dyDescent="0.3">
      <c r="B885" s="60"/>
      <c r="D885" s="203"/>
      <c r="G885" s="204"/>
      <c r="L885" s="206"/>
    </row>
    <row r="886" spans="2:12" ht="15.75" customHeight="1" x14ac:dyDescent="0.3">
      <c r="B886" s="60"/>
      <c r="D886" s="203"/>
      <c r="G886" s="204"/>
      <c r="L886" s="206"/>
    </row>
    <row r="887" spans="2:12" ht="15.75" customHeight="1" x14ac:dyDescent="0.3">
      <c r="B887" s="60"/>
      <c r="D887" s="203"/>
      <c r="G887" s="204"/>
      <c r="L887" s="206"/>
    </row>
    <row r="888" spans="2:12" ht="15.75" customHeight="1" x14ac:dyDescent="0.3">
      <c r="B888" s="60"/>
      <c r="D888" s="203"/>
      <c r="G888" s="204"/>
      <c r="L888" s="206"/>
    </row>
    <row r="889" spans="2:12" ht="15.75" customHeight="1" x14ac:dyDescent="0.3">
      <c r="B889" s="60"/>
      <c r="D889" s="203"/>
      <c r="G889" s="204"/>
      <c r="L889" s="206"/>
    </row>
    <row r="890" spans="2:12" ht="15.75" customHeight="1" x14ac:dyDescent="0.3">
      <c r="B890" s="60"/>
      <c r="D890" s="203"/>
      <c r="G890" s="204"/>
      <c r="L890" s="206"/>
    </row>
    <row r="891" spans="2:12" ht="15.75" customHeight="1" x14ac:dyDescent="0.3">
      <c r="B891" s="60"/>
      <c r="D891" s="203"/>
      <c r="G891" s="204"/>
      <c r="L891" s="206"/>
    </row>
    <row r="892" spans="2:12" ht="15.75" customHeight="1" x14ac:dyDescent="0.3">
      <c r="B892" s="60"/>
      <c r="D892" s="203"/>
      <c r="G892" s="204"/>
      <c r="L892" s="206"/>
    </row>
    <row r="893" spans="2:12" ht="15.75" customHeight="1" x14ac:dyDescent="0.3">
      <c r="B893" s="60"/>
      <c r="D893" s="203"/>
      <c r="G893" s="204"/>
      <c r="L893" s="206"/>
    </row>
    <row r="894" spans="2:12" ht="15.75" customHeight="1" x14ac:dyDescent="0.3">
      <c r="B894" s="60"/>
      <c r="D894" s="203"/>
      <c r="G894" s="204"/>
      <c r="L894" s="206"/>
    </row>
    <row r="895" spans="2:12" ht="15.75" customHeight="1" x14ac:dyDescent="0.3">
      <c r="B895" s="60"/>
      <c r="D895" s="203"/>
      <c r="G895" s="204"/>
      <c r="L895" s="206"/>
    </row>
    <row r="896" spans="2:12" ht="15.75" customHeight="1" x14ac:dyDescent="0.3">
      <c r="B896" s="60"/>
      <c r="D896" s="203"/>
      <c r="G896" s="204"/>
      <c r="L896" s="206"/>
    </row>
    <row r="897" spans="2:12" ht="15.75" customHeight="1" x14ac:dyDescent="0.3">
      <c r="B897" s="60"/>
      <c r="D897" s="203"/>
      <c r="G897" s="204"/>
      <c r="L897" s="206"/>
    </row>
    <row r="898" spans="2:12" ht="15.75" customHeight="1" x14ac:dyDescent="0.3">
      <c r="B898" s="60"/>
      <c r="D898" s="203"/>
      <c r="G898" s="204"/>
      <c r="L898" s="206"/>
    </row>
    <row r="899" spans="2:12" ht="15.75" customHeight="1" x14ac:dyDescent="0.3">
      <c r="B899" s="60"/>
      <c r="D899" s="203"/>
      <c r="G899" s="204"/>
      <c r="L899" s="206"/>
    </row>
    <row r="900" spans="2:12" ht="15.75" customHeight="1" x14ac:dyDescent="0.3">
      <c r="B900" s="60"/>
      <c r="D900" s="203"/>
      <c r="G900" s="204"/>
      <c r="L900" s="206"/>
    </row>
    <row r="901" spans="2:12" ht="15.75" customHeight="1" x14ac:dyDescent="0.3">
      <c r="B901" s="60"/>
      <c r="D901" s="203"/>
      <c r="G901" s="204"/>
      <c r="L901" s="206"/>
    </row>
    <row r="902" spans="2:12" ht="15.75" customHeight="1" x14ac:dyDescent="0.3">
      <c r="B902" s="60"/>
      <c r="D902" s="203"/>
      <c r="G902" s="204"/>
      <c r="L902" s="206"/>
    </row>
    <row r="903" spans="2:12" ht="15.75" customHeight="1" x14ac:dyDescent="0.3">
      <c r="B903" s="60"/>
      <c r="D903" s="203"/>
      <c r="G903" s="204"/>
      <c r="L903" s="206"/>
    </row>
    <row r="904" spans="2:12" ht="15.75" customHeight="1" x14ac:dyDescent="0.3">
      <c r="B904" s="60"/>
      <c r="D904" s="203"/>
      <c r="G904" s="204"/>
      <c r="L904" s="206"/>
    </row>
  </sheetData>
  <autoFilter ref="A4:AM136"/>
  <customSheetViews>
    <customSheetView guid="{0406206E-64B0-4BE7-B1B3-1E8F4E3B398B}" scale="60" fitToPage="1">
      <pane xSplit="1" ySplit="1" topLeftCell="C112" activePane="bottomRight" state="frozen"/>
      <selection pane="bottomRight" activeCell="V113" sqref="V113"/>
      <pageMargins left="0.7" right="0.7" top="0.75" bottom="0.75" header="0" footer="0"/>
      <pageSetup paperSize="8" scale="48" fitToHeight="0" orientation="landscape" r:id="rId1"/>
    </customSheetView>
    <customSheetView guid="{6281A774-6AE3-4E98-B0F7-810B299D3A2D}" scale="50" showPageBreaks="1" fitToPage="1" printArea="1" showAutoFilter="1" hiddenRows="1" hiddenColumns="1" view="pageBreakPreview">
      <pane xSplit="2" ySplit="1" topLeftCell="D2" activePane="bottomRight" state="frozen"/>
      <selection pane="bottomRight" activeCell="B46" sqref="B46"/>
      <pageMargins left="0.70866141732283472" right="0.70866141732283472" top="0.74803149606299213" bottom="0.74803149606299213" header="0" footer="0"/>
      <pageSetup paperSize="8" scale="32" fitToHeight="0" orientation="landscape" r:id="rId2"/>
      <autoFilter ref="A4:AH130"/>
    </customSheetView>
    <customSheetView guid="{31198A97-3BA0-4999-82A2-8971EA039CF7}" scale="60" fitToPage="1">
      <pane xSplit="1" ySplit="1" topLeftCell="B121" activePane="bottomRight" state="frozen"/>
      <selection pane="bottomRight" activeCell="P125" sqref="P125"/>
      <pageMargins left="0.7" right="0.7" top="0.75" bottom="0.75" header="0" footer="0"/>
      <pageSetup paperSize="8" scale="33" fitToHeight="0" orientation="landscape" r:id="rId3"/>
    </customSheetView>
  </customSheetViews>
  <mergeCells count="11">
    <mergeCell ref="AH82:AH83"/>
    <mergeCell ref="T54:T55"/>
    <mergeCell ref="AC54:AC55"/>
    <mergeCell ref="T63:T64"/>
    <mergeCell ref="AC63:AC64"/>
    <mergeCell ref="AE63:AE64"/>
    <mergeCell ref="AG63:AG64"/>
    <mergeCell ref="T82:T83"/>
    <mergeCell ref="AC82:AC83"/>
    <mergeCell ref="U54:U55"/>
    <mergeCell ref="U63:U64"/>
  </mergeCells>
  <pageMargins left="0.23622047244094491" right="3.937007874015748E-2" top="0.35433070866141736" bottom="0.35433070866141736" header="0.11811023622047245" footer="0.11811023622047245"/>
  <pageSetup paperSize="8" scale="32" fitToHeight="0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002"/>
  <sheetViews>
    <sheetView tabSelected="1" view="pageBreakPreview" topLeftCell="E1" zoomScale="10" zoomScaleNormal="30" zoomScaleSheetLayoutView="10" workbookViewId="0">
      <pane xSplit="19" ySplit="13" topLeftCell="X14" activePane="bottomRight" state="frozen"/>
      <selection activeCell="E1" sqref="E1"/>
      <selection pane="topRight" activeCell="X1" sqref="X1"/>
      <selection pane="bottomLeft" activeCell="E14" sqref="E14"/>
      <selection pane="bottomRight" activeCell="J40" sqref="J40"/>
    </sheetView>
  </sheetViews>
  <sheetFormatPr defaultColWidth="14.42578125" defaultRowHeight="15" customHeight="1" x14ac:dyDescent="0.85"/>
  <cols>
    <col min="1" max="1" width="19.28515625" style="259" customWidth="1"/>
    <col min="2" max="2" width="14.28515625" style="259" customWidth="1"/>
    <col min="3" max="3" width="10.7109375" style="255" hidden="1" customWidth="1"/>
    <col min="4" max="4" width="70" style="255" customWidth="1"/>
    <col min="5" max="5" width="236" style="256" customWidth="1"/>
    <col min="6" max="6" width="32.5703125" style="258" hidden="1" customWidth="1"/>
    <col min="7" max="7" width="25.7109375" style="258" hidden="1" customWidth="1"/>
    <col min="8" max="8" width="42.5703125" style="258" hidden="1" customWidth="1"/>
    <col min="9" max="9" width="27.42578125" style="258" hidden="1" customWidth="1"/>
    <col min="10" max="10" width="76.85546875" style="255" customWidth="1"/>
    <col min="11" max="12" width="52.7109375" style="257" customWidth="1"/>
    <col min="13" max="13" width="43.5703125" style="256" customWidth="1"/>
    <col min="14" max="14" width="32.140625" style="256" customWidth="1"/>
    <col min="15" max="15" width="32.85546875" style="256" customWidth="1"/>
    <col min="16" max="16" width="44" style="255" customWidth="1"/>
    <col min="17" max="18" width="44" style="255" hidden="1" customWidth="1"/>
    <col min="19" max="19" width="72.85546875" style="255" customWidth="1"/>
    <col min="20" max="20" width="74.28515625" style="255" customWidth="1"/>
    <col min="21" max="21" width="60.7109375" style="255" customWidth="1"/>
    <col min="22" max="22" width="72.85546875" style="255" customWidth="1"/>
    <col min="23" max="23" width="50.7109375" style="255" customWidth="1"/>
    <col min="24" max="24" width="70.7109375" style="255" customWidth="1"/>
    <col min="25" max="25" width="53.5703125" style="255" customWidth="1"/>
    <col min="26" max="26" width="69.28515625" style="255" hidden="1" customWidth="1"/>
    <col min="27" max="27" width="73.5703125" style="255" hidden="1" customWidth="1"/>
    <col min="28" max="28" width="63.5703125" style="255" customWidth="1"/>
    <col min="29" max="29" width="44.28515625" style="255" customWidth="1"/>
    <col min="30" max="30" width="65.7109375" style="255" customWidth="1"/>
    <col min="31" max="34" width="60.7109375" style="255" hidden="1" customWidth="1"/>
    <col min="35" max="35" width="52.140625" style="255" customWidth="1"/>
    <col min="36" max="38" width="60.7109375" style="255" hidden="1" customWidth="1"/>
    <col min="39" max="39" width="62.140625" style="255" customWidth="1"/>
    <col min="40" max="40" width="70.7109375" style="255" customWidth="1"/>
    <col min="41" max="41" width="73.5703125" style="255" hidden="1" customWidth="1"/>
    <col min="42" max="42" width="71.42578125" style="255" hidden="1" customWidth="1"/>
    <col min="43" max="43" width="67.85546875" style="255" customWidth="1"/>
    <col min="44" max="44" width="75.7109375" style="255" customWidth="1"/>
    <col min="45" max="45" width="67.85546875" style="255" customWidth="1"/>
    <col min="46" max="46" width="67.140625" style="255" customWidth="1"/>
    <col min="47" max="47" width="66.42578125" style="255" customWidth="1"/>
    <col min="48" max="48" width="68.5703125" style="255" customWidth="1"/>
    <col min="49" max="49" width="54.85546875" style="254" customWidth="1"/>
    <col min="50" max="50" width="52" style="254" customWidth="1"/>
    <col min="51" max="16384" width="14.42578125" style="254"/>
  </cols>
  <sheetData>
    <row r="1" spans="1:50" s="255" customFormat="1" ht="90" customHeight="1" x14ac:dyDescent="0.75">
      <c r="A1" s="470" t="s">
        <v>302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469"/>
      <c r="AK1" s="469"/>
      <c r="AL1" s="469"/>
      <c r="AM1" s="469"/>
      <c r="AN1" s="469"/>
      <c r="AO1" s="469"/>
      <c r="AP1" s="469"/>
      <c r="AQ1" s="469"/>
      <c r="AR1" s="469"/>
      <c r="AS1" s="469"/>
      <c r="AT1" s="469"/>
      <c r="AU1" s="469"/>
      <c r="AV1" s="468"/>
      <c r="AW1" s="402"/>
      <c r="AX1" s="402"/>
    </row>
    <row r="2" spans="1:50" ht="99.75" hidden="1" customHeight="1" x14ac:dyDescent="0.5">
      <c r="A2" s="467"/>
      <c r="B2" s="467"/>
      <c r="C2" s="466"/>
      <c r="D2" s="465"/>
      <c r="E2" s="464"/>
      <c r="F2" s="463"/>
      <c r="G2" s="463"/>
      <c r="H2" s="463"/>
      <c r="I2" s="463"/>
      <c r="J2" s="460"/>
      <c r="K2" s="462"/>
      <c r="L2" s="462"/>
      <c r="M2" s="461"/>
      <c r="N2" s="461"/>
      <c r="O2" s="461"/>
      <c r="P2" s="460"/>
      <c r="Q2" s="460"/>
      <c r="R2" s="460"/>
      <c r="S2" s="456">
        <f>S6+S113</f>
        <v>170466557.06937999</v>
      </c>
      <c r="T2" s="456">
        <f>T6+T113</f>
        <v>54007713.995800003</v>
      </c>
      <c r="U2" s="459">
        <f>T2/S2</f>
        <v>0.31682292951935925</v>
      </c>
      <c r="V2" s="456">
        <f>V6+V113</f>
        <v>45669501.79665</v>
      </c>
      <c r="W2" s="459">
        <f>V2/S2</f>
        <v>0.26790886483418846</v>
      </c>
      <c r="X2" s="456">
        <f>X6+X113</f>
        <v>15920496.75206</v>
      </c>
      <c r="Y2" s="459">
        <f>X2/S2</f>
        <v>9.3393666334097125E-2</v>
      </c>
      <c r="Z2" s="456">
        <f>Z6+Z113</f>
        <v>60734385.945179999</v>
      </c>
      <c r="AA2" s="456">
        <f>AA6+AA113</f>
        <v>14282619.0983018</v>
      </c>
      <c r="AB2" s="456">
        <f>AB6+AB113</f>
        <v>8338212.1991499998</v>
      </c>
      <c r="AC2" s="459">
        <f>AB2/S2</f>
        <v>4.8914064685170726E-2</v>
      </c>
      <c r="AD2" s="456">
        <f>AD6+AD113</f>
        <v>8089901.2916900003</v>
      </c>
      <c r="AE2" s="456">
        <f>AE6+AE113</f>
        <v>3536305.9316400001</v>
      </c>
      <c r="AF2" s="459">
        <f>AE2/S2</f>
        <v>2.074486628013917E-2</v>
      </c>
      <c r="AG2" s="456">
        <f>AG6+AG113</f>
        <v>154886.11027</v>
      </c>
      <c r="AH2" s="459">
        <f>AG2/S2</f>
        <v>9.0860115281709642E-4</v>
      </c>
      <c r="AI2" s="459"/>
      <c r="AJ2" s="459"/>
      <c r="AK2" s="458"/>
      <c r="AL2" s="457"/>
      <c r="AM2" s="457"/>
      <c r="AN2" s="456">
        <f>AN6+AN113</f>
        <v>457036396.46775001</v>
      </c>
      <c r="AO2" s="456">
        <f>AO6+AO113</f>
        <v>42623768.769999996</v>
      </c>
      <c r="AP2" s="456">
        <f>AP6+AP113</f>
        <v>32711657.647000004</v>
      </c>
      <c r="AQ2" s="456">
        <f>AQ6+AQ113</f>
        <v>42308445.566412292</v>
      </c>
      <c r="AR2" s="456">
        <f>AR6+AR113</f>
        <v>57053448.006999999</v>
      </c>
      <c r="AS2" s="456">
        <f>AS6+AS113</f>
        <v>46897339.213</v>
      </c>
      <c r="AT2" s="456">
        <f>AT6+AT113</f>
        <v>74778844.057999998</v>
      </c>
      <c r="AU2" s="456">
        <f>AU6+AU113</f>
        <v>185231643.93504</v>
      </c>
      <c r="AV2" s="401">
        <f>AV6+AV113</f>
        <v>34230190.29652229</v>
      </c>
      <c r="AW2" s="455"/>
      <c r="AX2" s="455"/>
    </row>
    <row r="3" spans="1:50" s="429" customFormat="1" ht="207.75" customHeight="1" x14ac:dyDescent="0.8">
      <c r="A3" s="454" t="s">
        <v>303</v>
      </c>
      <c r="B3" s="440" t="s">
        <v>303</v>
      </c>
      <c r="C3" s="435" t="s">
        <v>304</v>
      </c>
      <c r="D3" s="435" t="s">
        <v>305</v>
      </c>
      <c r="E3" s="333" t="s">
        <v>306</v>
      </c>
      <c r="F3" s="453" t="s">
        <v>307</v>
      </c>
      <c r="G3" s="452"/>
      <c r="H3" s="449" t="s">
        <v>308</v>
      </c>
      <c r="I3" s="449" t="s">
        <v>3</v>
      </c>
      <c r="J3" s="449" t="s">
        <v>309</v>
      </c>
      <c r="K3" s="449" t="s">
        <v>310</v>
      </c>
      <c r="L3" s="449" t="s">
        <v>311</v>
      </c>
      <c r="M3" s="449" t="s">
        <v>312</v>
      </c>
      <c r="N3" s="449" t="s">
        <v>313</v>
      </c>
      <c r="O3" s="449" t="s">
        <v>314</v>
      </c>
      <c r="P3" s="449" t="s">
        <v>315</v>
      </c>
      <c r="Q3" s="451" t="s">
        <v>316</v>
      </c>
      <c r="R3" s="451" t="s">
        <v>317</v>
      </c>
      <c r="S3" s="449" t="s">
        <v>318</v>
      </c>
      <c r="T3" s="449" t="s">
        <v>319</v>
      </c>
      <c r="U3" s="449" t="s">
        <v>320</v>
      </c>
      <c r="V3" s="449" t="s">
        <v>321</v>
      </c>
      <c r="W3" s="449" t="s">
        <v>322</v>
      </c>
      <c r="X3" s="449" t="s">
        <v>323</v>
      </c>
      <c r="Y3" s="449" t="s">
        <v>324</v>
      </c>
      <c r="Z3" s="449" t="s">
        <v>325</v>
      </c>
      <c r="AA3" s="449" t="s">
        <v>326</v>
      </c>
      <c r="AB3" s="449" t="s">
        <v>327</v>
      </c>
      <c r="AC3" s="450" t="s">
        <v>328</v>
      </c>
      <c r="AD3" s="449" t="s">
        <v>329</v>
      </c>
      <c r="AE3" s="449" t="s">
        <v>330</v>
      </c>
      <c r="AF3" s="449" t="s">
        <v>331</v>
      </c>
      <c r="AG3" s="449" t="s">
        <v>332</v>
      </c>
      <c r="AH3" s="449" t="s">
        <v>333</v>
      </c>
      <c r="AI3" s="449" t="s">
        <v>334</v>
      </c>
      <c r="AJ3" s="449" t="s">
        <v>335</v>
      </c>
      <c r="AK3" s="435" t="s">
        <v>336</v>
      </c>
      <c r="AL3" s="435" t="s">
        <v>337</v>
      </c>
      <c r="AM3" s="435" t="s">
        <v>338</v>
      </c>
      <c r="AN3" s="435" t="s">
        <v>339</v>
      </c>
      <c r="AO3" s="435" t="s">
        <v>340</v>
      </c>
      <c r="AP3" s="434">
        <v>2025</v>
      </c>
      <c r="AQ3" s="433">
        <v>2026</v>
      </c>
      <c r="AR3" s="433">
        <v>2027</v>
      </c>
      <c r="AS3" s="433">
        <v>2028</v>
      </c>
      <c r="AT3" s="433">
        <v>2029</v>
      </c>
      <c r="AU3" s="432" t="s">
        <v>341</v>
      </c>
      <c r="AV3" s="448" t="s">
        <v>342</v>
      </c>
      <c r="AW3" s="430"/>
      <c r="AX3" s="430"/>
    </row>
    <row r="4" spans="1:50" s="429" customFormat="1" ht="43.5" customHeight="1" x14ac:dyDescent="0.8">
      <c r="A4" s="447"/>
      <c r="B4" s="440"/>
      <c r="C4" s="435"/>
      <c r="D4" s="435"/>
      <c r="E4" s="333"/>
      <c r="F4" s="446"/>
      <c r="G4" s="445"/>
      <c r="H4" s="441"/>
      <c r="I4" s="441"/>
      <c r="J4" s="441"/>
      <c r="K4" s="444"/>
      <c r="L4" s="444"/>
      <c r="M4" s="441"/>
      <c r="N4" s="441"/>
      <c r="O4" s="441"/>
      <c r="P4" s="441"/>
      <c r="Q4" s="443"/>
      <c r="R4" s="443"/>
      <c r="S4" s="441"/>
      <c r="T4" s="441"/>
      <c r="U4" s="441"/>
      <c r="V4" s="441"/>
      <c r="W4" s="441"/>
      <c r="X4" s="441"/>
      <c r="Y4" s="441"/>
      <c r="Z4" s="441"/>
      <c r="AA4" s="441"/>
      <c r="AB4" s="441"/>
      <c r="AC4" s="442"/>
      <c r="AD4" s="441"/>
      <c r="AE4" s="441"/>
      <c r="AF4" s="441"/>
      <c r="AG4" s="441"/>
      <c r="AH4" s="441"/>
      <c r="AI4" s="441"/>
      <c r="AJ4" s="441"/>
      <c r="AK4" s="435"/>
      <c r="AL4" s="435"/>
      <c r="AM4" s="435"/>
      <c r="AN4" s="435"/>
      <c r="AO4" s="435"/>
      <c r="AP4" s="434"/>
      <c r="AQ4" s="433"/>
      <c r="AR4" s="433"/>
      <c r="AS4" s="433"/>
      <c r="AT4" s="433"/>
      <c r="AU4" s="432"/>
      <c r="AV4" s="431"/>
      <c r="AW4" s="430"/>
      <c r="AX4" s="430"/>
    </row>
    <row r="5" spans="1:50" s="429" customFormat="1" ht="106.5" x14ac:dyDescent="0.8">
      <c r="A5" s="396"/>
      <c r="B5" s="440"/>
      <c r="C5" s="435"/>
      <c r="D5" s="435"/>
      <c r="E5" s="333"/>
      <c r="F5" s="435" t="s">
        <v>343</v>
      </c>
      <c r="G5" s="435" t="s">
        <v>344</v>
      </c>
      <c r="H5" s="436"/>
      <c r="I5" s="436"/>
      <c r="J5" s="436"/>
      <c r="K5" s="439"/>
      <c r="L5" s="439"/>
      <c r="M5" s="436"/>
      <c r="N5" s="436"/>
      <c r="O5" s="436"/>
      <c r="P5" s="436"/>
      <c r="Q5" s="438"/>
      <c r="R5" s="438"/>
      <c r="S5" s="436"/>
      <c r="T5" s="436"/>
      <c r="U5" s="436"/>
      <c r="V5" s="436"/>
      <c r="W5" s="436"/>
      <c r="X5" s="436"/>
      <c r="Y5" s="436"/>
      <c r="Z5" s="436"/>
      <c r="AA5" s="436"/>
      <c r="AB5" s="436"/>
      <c r="AC5" s="437"/>
      <c r="AD5" s="436"/>
      <c r="AE5" s="436"/>
      <c r="AF5" s="436"/>
      <c r="AG5" s="436"/>
      <c r="AH5" s="436"/>
      <c r="AI5" s="436"/>
      <c r="AJ5" s="436"/>
      <c r="AK5" s="435"/>
      <c r="AL5" s="435"/>
      <c r="AM5" s="435"/>
      <c r="AN5" s="435"/>
      <c r="AO5" s="435"/>
      <c r="AP5" s="434"/>
      <c r="AQ5" s="433"/>
      <c r="AR5" s="433"/>
      <c r="AS5" s="433"/>
      <c r="AT5" s="433"/>
      <c r="AU5" s="432"/>
      <c r="AV5" s="431"/>
      <c r="AW5" s="430"/>
      <c r="AX5" s="430"/>
    </row>
    <row r="6" spans="1:50" s="259" customFormat="1" ht="170.1" customHeight="1" x14ac:dyDescent="0.95">
      <c r="A6" s="323"/>
      <c r="B6" s="323"/>
      <c r="C6" s="323"/>
      <c r="D6" s="428"/>
      <c r="E6" s="320"/>
      <c r="F6" s="426"/>
      <c r="G6" s="426"/>
      <c r="H6" s="426"/>
      <c r="I6" s="426"/>
      <c r="J6" s="315"/>
      <c r="K6" s="358"/>
      <c r="L6" s="358"/>
      <c r="M6" s="357"/>
      <c r="N6" s="357"/>
      <c r="O6" s="357"/>
      <c r="P6" s="426"/>
      <c r="Q6" s="426"/>
      <c r="R6" s="426"/>
      <c r="S6" s="423">
        <f>S9+S15+S36+S42+S58+S76+S87</f>
        <v>170466557.06937999</v>
      </c>
      <c r="T6" s="423">
        <f>T9+T15+T36+T42+T58+T76+T87</f>
        <v>54007713.995800003</v>
      </c>
      <c r="U6" s="427">
        <f>T6/S6</f>
        <v>0.31682292951935925</v>
      </c>
      <c r="V6" s="423">
        <f>V9+V15+V36+V42+V58+V76+V87</f>
        <v>45669501.79665</v>
      </c>
      <c r="W6" s="427">
        <f>V6/S6</f>
        <v>0.26790886483418846</v>
      </c>
      <c r="X6" s="423">
        <f>X9+X15+X36+X42+X58+X76+X87</f>
        <v>15920496.75206</v>
      </c>
      <c r="Y6" s="427">
        <f>X6/S6</f>
        <v>9.3393666334097125E-2</v>
      </c>
      <c r="Z6" s="423">
        <f>Z9+Z15+Z36+Z42+Z58+Z76+Z87</f>
        <v>60734385.945179999</v>
      </c>
      <c r="AA6" s="423">
        <f>AA9+AA15+AA36+AA42+AA58+AA76+AA87</f>
        <v>14282619.0983018</v>
      </c>
      <c r="AB6" s="423">
        <f>AB9+AB15+AB36+AB42+AB58+AB76+AB87</f>
        <v>8338212.1991499998</v>
      </c>
      <c r="AC6" s="427">
        <f>AB6/S6</f>
        <v>4.8914064685170726E-2</v>
      </c>
      <c r="AD6" s="423">
        <f>AD9+AD15+AD36+AD42+AD58+AD76+AD87</f>
        <v>8089901.2916900003</v>
      </c>
      <c r="AE6" s="423">
        <f>AE9+AE15+AE36+AE42+AE58+AE76+AE87</f>
        <v>3536305.9316400001</v>
      </c>
      <c r="AF6" s="427">
        <f>AE6/S6</f>
        <v>2.074486628013917E-2</v>
      </c>
      <c r="AG6" s="423">
        <f>AG9+AG15+AG36+AG42+AG58+AG76+AG87</f>
        <v>154886.11027</v>
      </c>
      <c r="AH6" s="427">
        <f>AG6/S6</f>
        <v>9.0860115281709642E-4</v>
      </c>
      <c r="AI6" s="427"/>
      <c r="AJ6" s="426"/>
      <c r="AK6" s="425"/>
      <c r="AL6" s="424"/>
      <c r="AM6" s="424"/>
      <c r="AN6" s="423">
        <f>AN9+AN15+AN36+AN42+AN58+AN76+AN87</f>
        <v>267157577.23330998</v>
      </c>
      <c r="AO6" s="423">
        <f>AO9+AO15+AO36+AO42+AO58+AO76+AO87</f>
        <v>35459572.778999999</v>
      </c>
      <c r="AP6" s="423">
        <f>AP9+AP15+AP36+AP42+AP58+AP76+AP87</f>
        <v>32542666.586000003</v>
      </c>
      <c r="AQ6" s="423">
        <f>AQ9+AQ15+AQ36+AQ42+AQ58+AQ76+AQ87</f>
        <v>32757639.902412295</v>
      </c>
      <c r="AR6" s="423">
        <f>AR9+AR15+AR36+AR42+AR58+AR76+AR87</f>
        <v>44943259.982999995</v>
      </c>
      <c r="AS6" s="423">
        <f>AS9+AS15+AS36+AS42+AS58+AS76+AS87</f>
        <v>44971160.537</v>
      </c>
      <c r="AT6" s="423">
        <f>AT9+AT15+AT36+AT42+AT58+AT76+AT87</f>
        <v>72442814.391000003</v>
      </c>
      <c r="AU6" s="423">
        <f>AU9+AU15+AU36+AU42+AU58+AU76+AU87</f>
        <v>-3.9999932050704956E-4</v>
      </c>
      <c r="AV6" s="422">
        <f>AV9+AV15+AV36+AV42+AV58+AV76+AV87</f>
        <v>24679384.632522292</v>
      </c>
      <c r="AW6" s="421"/>
      <c r="AX6" s="421"/>
    </row>
    <row r="7" spans="1:50" s="418" customFormat="1" ht="90" customHeight="1" x14ac:dyDescent="1">
      <c r="A7" s="364" t="s">
        <v>345</v>
      </c>
      <c r="B7" s="363"/>
      <c r="C7" s="363"/>
      <c r="D7" s="363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3"/>
      <c r="U7" s="363"/>
      <c r="V7" s="363"/>
      <c r="W7" s="363"/>
      <c r="X7" s="363"/>
      <c r="Y7" s="363"/>
      <c r="Z7" s="363"/>
      <c r="AA7" s="363"/>
      <c r="AB7" s="363"/>
      <c r="AC7" s="363"/>
      <c r="AD7" s="363"/>
      <c r="AE7" s="363"/>
      <c r="AF7" s="363"/>
      <c r="AG7" s="363"/>
      <c r="AH7" s="363"/>
      <c r="AI7" s="363"/>
      <c r="AJ7" s="363"/>
      <c r="AK7" s="363"/>
      <c r="AL7" s="363"/>
      <c r="AM7" s="363"/>
      <c r="AN7" s="363"/>
      <c r="AO7" s="363"/>
      <c r="AP7" s="363"/>
      <c r="AQ7" s="363"/>
      <c r="AR7" s="363"/>
      <c r="AS7" s="363"/>
      <c r="AT7" s="363"/>
      <c r="AU7" s="363"/>
      <c r="AV7" s="362"/>
      <c r="AW7" s="419"/>
      <c r="AX7" s="419"/>
    </row>
    <row r="8" spans="1:50" s="348" customFormat="1" ht="170.1" customHeight="1" x14ac:dyDescent="0.85">
      <c r="A8" s="323"/>
      <c r="B8" s="323"/>
      <c r="C8" s="360"/>
      <c r="D8" s="359"/>
      <c r="E8" s="320"/>
      <c r="F8" s="356"/>
      <c r="G8" s="356"/>
      <c r="H8" s="356"/>
      <c r="I8" s="356"/>
      <c r="J8" s="315"/>
      <c r="K8" s="358"/>
      <c r="L8" s="358"/>
      <c r="M8" s="357"/>
      <c r="N8" s="357"/>
      <c r="O8" s="357"/>
      <c r="P8" s="356"/>
      <c r="Q8" s="356"/>
      <c r="R8" s="356"/>
      <c r="S8" s="351">
        <f>S9+S15</f>
        <v>22219462.48584</v>
      </c>
      <c r="T8" s="351">
        <f>T9+T15</f>
        <v>9597035.1356000006</v>
      </c>
      <c r="U8" s="354">
        <f>T8/S8</f>
        <v>0.43192022046959916</v>
      </c>
      <c r="V8" s="351">
        <f>V9+V15</f>
        <v>7889046.6590299997</v>
      </c>
      <c r="W8" s="354">
        <f>V8/S8</f>
        <v>0.35505119280259478</v>
      </c>
      <c r="X8" s="351">
        <f>X9+X15</f>
        <v>2991961.8297500005</v>
      </c>
      <c r="Y8" s="354">
        <f>X8/S8</f>
        <v>0.13465500489297233</v>
      </c>
      <c r="Z8" s="351"/>
      <c r="AA8" s="351"/>
      <c r="AB8" s="351">
        <f>AB9+AB15</f>
        <v>1707988.4765699999</v>
      </c>
      <c r="AC8" s="354"/>
      <c r="AD8" s="351">
        <f>AD9+AD15</f>
        <v>1207517.9927900003</v>
      </c>
      <c r="AE8" s="351"/>
      <c r="AF8" s="354"/>
      <c r="AG8" s="351"/>
      <c r="AH8" s="354"/>
      <c r="AI8" s="354"/>
      <c r="AJ8" s="354"/>
      <c r="AK8" s="353"/>
      <c r="AL8" s="352"/>
      <c r="AM8" s="352"/>
      <c r="AN8" s="351">
        <f>AN9+AN15</f>
        <v>37313425.740999997</v>
      </c>
      <c r="AO8" s="351">
        <f>AO9+AO15</f>
        <v>13263747.425999999</v>
      </c>
      <c r="AP8" s="351">
        <f>AP9+AP15</f>
        <v>5060205.9610000001</v>
      </c>
      <c r="AQ8" s="351">
        <f>AQ9+AQ15</f>
        <v>9679816.0240000002</v>
      </c>
      <c r="AR8" s="351">
        <f>AR9+AR15</f>
        <v>6966104.3870000001</v>
      </c>
      <c r="AS8" s="351">
        <f>AS9+AS15</f>
        <v>2343551.943</v>
      </c>
      <c r="AT8" s="351">
        <f>AT9+AT15</f>
        <v>0</v>
      </c>
      <c r="AU8" s="351">
        <f>AU9+AU15</f>
        <v>0</v>
      </c>
      <c r="AV8" s="350">
        <f>AV9+AV15</f>
        <v>8483944.0530099999</v>
      </c>
      <c r="AW8" s="349"/>
      <c r="AX8" s="349"/>
    </row>
    <row r="9" spans="1:50" ht="99.75" customHeight="1" x14ac:dyDescent="0.5">
      <c r="A9" s="323"/>
      <c r="B9" s="323"/>
      <c r="C9" s="322"/>
      <c r="D9" s="321"/>
      <c r="E9" s="320"/>
      <c r="F9" s="319"/>
      <c r="G9" s="319"/>
      <c r="H9" s="319"/>
      <c r="I9" s="319"/>
      <c r="J9" s="315"/>
      <c r="K9" s="358"/>
      <c r="L9" s="358"/>
      <c r="M9" s="357"/>
      <c r="N9" s="357"/>
      <c r="O9" s="357"/>
      <c r="P9" s="315"/>
      <c r="Q9" s="315"/>
      <c r="R9" s="315"/>
      <c r="S9" s="269">
        <f>SUM(S10:S13)</f>
        <v>11188649.276000001</v>
      </c>
      <c r="T9" s="269">
        <f>SUM(T10:T13)</f>
        <v>6033619.11008</v>
      </c>
      <c r="U9" s="316">
        <f>T9/S9</f>
        <v>0.53926251160828675</v>
      </c>
      <c r="V9" s="269">
        <f>SUM(V10:V13)</f>
        <v>5135584.6457199994</v>
      </c>
      <c r="W9" s="316">
        <f>V9/S9</f>
        <v>0.45899951987376952</v>
      </c>
      <c r="X9" s="269">
        <f>SUM(X10:X13)</f>
        <v>1808893.4980000001</v>
      </c>
      <c r="Y9" s="316">
        <f>X9/S9</f>
        <v>0.1616721959352263</v>
      </c>
      <c r="Z9" s="269">
        <f>SUM(Z10:Z13)</f>
        <v>6286713.0036200006</v>
      </c>
      <c r="AA9" s="269">
        <f>SUM(AA10:AA13)</f>
        <v>1151128.3579000002</v>
      </c>
      <c r="AB9" s="269">
        <f>SUM(AB10:AB13)</f>
        <v>898034.46435999987</v>
      </c>
      <c r="AC9" s="316">
        <f>AB9/S9</f>
        <v>8.0262991734517203E-2</v>
      </c>
      <c r="AD9" s="269">
        <f>SUM(AD10:AD13)</f>
        <v>0</v>
      </c>
      <c r="AE9" s="269">
        <f>SUM(AE10:AE13)</f>
        <v>0</v>
      </c>
      <c r="AF9" s="316">
        <f>AE9/S9</f>
        <v>0</v>
      </c>
      <c r="AG9" s="269">
        <f>SUM(AG10:AG13)</f>
        <v>0</v>
      </c>
      <c r="AH9" s="316">
        <f>AG9/S9</f>
        <v>0</v>
      </c>
      <c r="AI9" s="316"/>
      <c r="AJ9" s="316"/>
      <c r="AK9" s="314"/>
      <c r="AL9" s="313"/>
      <c r="AM9" s="313"/>
      <c r="AN9" s="269">
        <f>SUM(AN10:AN13)</f>
        <v>20799485.408</v>
      </c>
      <c r="AO9" s="269">
        <f>SUM(AO10:AO13)</f>
        <v>12595090.986</v>
      </c>
      <c r="AP9" s="269">
        <f>SUM(AP10:AP13)</f>
        <v>2412305.9190000002</v>
      </c>
      <c r="AQ9" s="269">
        <f>SUM(AQ10:AQ13)</f>
        <v>4537023.21</v>
      </c>
      <c r="AR9" s="269">
        <f>SUM(AR10:AR13)</f>
        <v>1182865.2930000001</v>
      </c>
      <c r="AS9" s="269">
        <f>SUM(AS10:AS13)</f>
        <v>72200</v>
      </c>
      <c r="AT9" s="269">
        <f>SUM(AT10:AT13)</f>
        <v>0</v>
      </c>
      <c r="AU9" s="269">
        <f>SUM(AU10:AU13)</f>
        <v>0</v>
      </c>
      <c r="AV9" s="401">
        <f>SUM(AV10:AV13)</f>
        <v>4537023.21</v>
      </c>
      <c r="AW9" s="400"/>
      <c r="AX9" s="400"/>
    </row>
    <row r="10" spans="1:50" ht="249.95" customHeight="1" x14ac:dyDescent="0.2">
      <c r="A10" s="283">
        <v>1</v>
      </c>
      <c r="B10" s="283">
        <v>1</v>
      </c>
      <c r="C10" s="288" t="s">
        <v>346</v>
      </c>
      <c r="D10" s="288" t="s">
        <v>347</v>
      </c>
      <c r="E10" s="386" t="s">
        <v>348</v>
      </c>
      <c r="F10" s="296">
        <v>4.0015400000000003</v>
      </c>
      <c r="G10" s="296"/>
      <c r="H10" s="297">
        <v>44872</v>
      </c>
      <c r="I10" s="296" t="s">
        <v>349</v>
      </c>
      <c r="J10" s="295" t="s">
        <v>350</v>
      </c>
      <c r="K10" s="405">
        <v>0.86</v>
      </c>
      <c r="L10" s="405">
        <v>0.86</v>
      </c>
      <c r="M10" s="329">
        <f>L10-K10</f>
        <v>0</v>
      </c>
      <c r="N10" s="365">
        <v>24</v>
      </c>
      <c r="O10" s="365">
        <v>11</v>
      </c>
      <c r="P10" s="409">
        <v>45894</v>
      </c>
      <c r="Q10" s="409" t="s">
        <v>351</v>
      </c>
      <c r="R10" s="275">
        <v>1</v>
      </c>
      <c r="S10" s="291">
        <v>3548732.571</v>
      </c>
      <c r="T10" s="291">
        <f>2732000.55157-3098.60949</f>
        <v>2728901.9420799999</v>
      </c>
      <c r="U10" s="292">
        <f>T10/S10</f>
        <v>0.76897931514490558</v>
      </c>
      <c r="V10" s="291">
        <v>2471263.0147199999</v>
      </c>
      <c r="W10" s="292">
        <f>V10/S10</f>
        <v>0.69637904949924723</v>
      </c>
      <c r="X10" s="291">
        <v>634328.90700000001</v>
      </c>
      <c r="Y10" s="292">
        <f>X10/S10</f>
        <v>0.17874801617447661</v>
      </c>
      <c r="Z10" s="291">
        <v>2484112.7996200002</v>
      </c>
      <c r="AA10" s="291">
        <f>Z10-V10</f>
        <v>12849.784900000319</v>
      </c>
      <c r="AB10" s="274">
        <f>T10-V10</f>
        <v>257638.92736000009</v>
      </c>
      <c r="AC10" s="275">
        <f>AB10/S10</f>
        <v>7.2600265645658343E-2</v>
      </c>
      <c r="AD10" s="274">
        <v>0</v>
      </c>
      <c r="AE10" s="274">
        <v>0</v>
      </c>
      <c r="AF10" s="292">
        <f>AE10/S10</f>
        <v>0</v>
      </c>
      <c r="AG10" s="274">
        <v>0</v>
      </c>
      <c r="AH10" s="292">
        <f>AG10/U10</f>
        <v>0</v>
      </c>
      <c r="AI10" s="369">
        <f>U10-L10</f>
        <v>-9.1020684855094403E-2</v>
      </c>
      <c r="AJ10" s="295" t="s">
        <v>352</v>
      </c>
      <c r="AK10" s="289" t="s">
        <v>353</v>
      </c>
      <c r="AL10" s="271" t="s">
        <v>354</v>
      </c>
      <c r="AM10" s="328">
        <v>46356</v>
      </c>
      <c r="AN10" s="286">
        <v>8728017.4739999995</v>
      </c>
      <c r="AO10" s="303">
        <v>6972779.1669999994</v>
      </c>
      <c r="AP10" s="269">
        <v>715721.03099999996</v>
      </c>
      <c r="AQ10" s="286">
        <v>899966.223</v>
      </c>
      <c r="AR10" s="286">
        <v>97432.053</v>
      </c>
      <c r="AS10" s="286">
        <v>42119</v>
      </c>
      <c r="AT10" s="286">
        <v>0</v>
      </c>
      <c r="AU10" s="285">
        <v>0</v>
      </c>
      <c r="AV10" s="267">
        <f>AQ10-AD10</f>
        <v>899966.223</v>
      </c>
      <c r="AW10" s="331" t="s">
        <v>355</v>
      </c>
      <c r="AX10" s="284" t="s">
        <v>356</v>
      </c>
    </row>
    <row r="11" spans="1:50" ht="249.95" customHeight="1" x14ac:dyDescent="0.2">
      <c r="A11" s="283">
        <v>2</v>
      </c>
      <c r="B11" s="283">
        <v>2</v>
      </c>
      <c r="C11" s="288" t="s">
        <v>346</v>
      </c>
      <c r="D11" s="288" t="s">
        <v>357</v>
      </c>
      <c r="E11" s="386" t="s">
        <v>358</v>
      </c>
      <c r="F11" s="296">
        <v>2.0759500000000002</v>
      </c>
      <c r="G11" s="296">
        <v>273</v>
      </c>
      <c r="H11" s="297">
        <v>46003</v>
      </c>
      <c r="I11" s="296" t="s">
        <v>359</v>
      </c>
      <c r="J11" s="295" t="s">
        <v>360</v>
      </c>
      <c r="K11" s="406">
        <v>0.45</v>
      </c>
      <c r="L11" s="406">
        <v>0.45</v>
      </c>
      <c r="M11" s="329">
        <f>L11-K11</f>
        <v>0</v>
      </c>
      <c r="N11" s="365">
        <v>23</v>
      </c>
      <c r="O11" s="365">
        <v>4</v>
      </c>
      <c r="P11" s="338" t="s">
        <v>361</v>
      </c>
      <c r="Q11" s="342" t="s">
        <v>351</v>
      </c>
      <c r="R11" s="275">
        <v>0.97</v>
      </c>
      <c r="S11" s="291">
        <v>3312365.1009999998</v>
      </c>
      <c r="T11" s="291">
        <v>861244.23199999996</v>
      </c>
      <c r="U11" s="292">
        <f>T11/S11</f>
        <v>0.2600088473761516</v>
      </c>
      <c r="V11" s="291">
        <v>861244.23199999996</v>
      </c>
      <c r="W11" s="292">
        <f>V11/S11</f>
        <v>0.2600088473761516</v>
      </c>
      <c r="X11" s="291">
        <v>0</v>
      </c>
      <c r="Y11" s="292">
        <v>0</v>
      </c>
      <c r="Z11" s="291">
        <v>1656182.551</v>
      </c>
      <c r="AA11" s="291">
        <f>Z11-V11</f>
        <v>794938.31900000002</v>
      </c>
      <c r="AB11" s="274">
        <f>T11-V11</f>
        <v>0</v>
      </c>
      <c r="AC11" s="275">
        <f>AB11/S11</f>
        <v>0</v>
      </c>
      <c r="AD11" s="274">
        <v>0</v>
      </c>
      <c r="AE11" s="274">
        <v>0</v>
      </c>
      <c r="AF11" s="292">
        <f>AE11/S11</f>
        <v>0</v>
      </c>
      <c r="AG11" s="274">
        <v>0</v>
      </c>
      <c r="AH11" s="292">
        <f>AG11/U11</f>
        <v>0</v>
      </c>
      <c r="AI11" s="369">
        <f>U11-L11</f>
        <v>-0.18999115262384841</v>
      </c>
      <c r="AJ11" s="295" t="s">
        <v>362</v>
      </c>
      <c r="AK11" s="289" t="s">
        <v>363</v>
      </c>
      <c r="AL11" s="288" t="s">
        <v>364</v>
      </c>
      <c r="AM11" s="328">
        <v>46356</v>
      </c>
      <c r="AN11" s="286">
        <v>5343237.1040000003</v>
      </c>
      <c r="AO11" s="286">
        <v>1846515.091</v>
      </c>
      <c r="AP11" s="269">
        <v>890339.68</v>
      </c>
      <c r="AQ11" s="286">
        <v>2112884.2829999998</v>
      </c>
      <c r="AR11" s="286">
        <v>493498.05</v>
      </c>
      <c r="AS11" s="286">
        <v>0</v>
      </c>
      <c r="AT11" s="286">
        <v>0</v>
      </c>
      <c r="AU11" s="285">
        <v>0</v>
      </c>
      <c r="AV11" s="267">
        <f>AQ11-AD11</f>
        <v>2112884.2829999998</v>
      </c>
      <c r="AW11" s="331" t="s">
        <v>365</v>
      </c>
      <c r="AX11" s="284" t="s">
        <v>366</v>
      </c>
    </row>
    <row r="12" spans="1:50" ht="298.5" customHeight="1" x14ac:dyDescent="0.2">
      <c r="A12" s="283">
        <v>3</v>
      </c>
      <c r="B12" s="283">
        <v>3</v>
      </c>
      <c r="C12" s="288" t="s">
        <v>346</v>
      </c>
      <c r="D12" s="288" t="s">
        <v>367</v>
      </c>
      <c r="E12" s="386" t="s">
        <v>368</v>
      </c>
      <c r="F12" s="296">
        <v>1.9746900000000001</v>
      </c>
      <c r="G12" s="296">
        <v>136.76</v>
      </c>
      <c r="H12" s="297">
        <v>45947</v>
      </c>
      <c r="I12" s="296" t="s">
        <v>369</v>
      </c>
      <c r="J12" s="295" t="s">
        <v>360</v>
      </c>
      <c r="K12" s="406">
        <v>0.45</v>
      </c>
      <c r="L12" s="406">
        <v>0.45</v>
      </c>
      <c r="M12" s="329">
        <f>L12-K12</f>
        <v>0</v>
      </c>
      <c r="N12" s="365">
        <v>40</v>
      </c>
      <c r="O12" s="365">
        <v>7</v>
      </c>
      <c r="P12" s="384">
        <v>43763</v>
      </c>
      <c r="Q12" s="384" t="s">
        <v>351</v>
      </c>
      <c r="R12" s="275">
        <v>1</v>
      </c>
      <c r="S12" s="291">
        <v>1704671.4509999999</v>
      </c>
      <c r="T12" s="291">
        <v>569565.68099999998</v>
      </c>
      <c r="U12" s="292">
        <f>T12/S12</f>
        <v>0.3341205020274608</v>
      </c>
      <c r="V12" s="291">
        <v>569565.68099999998</v>
      </c>
      <c r="W12" s="292">
        <f>V12/S12</f>
        <v>0.3341205020274608</v>
      </c>
      <c r="X12" s="291">
        <v>0</v>
      </c>
      <c r="Y12" s="292">
        <f>X12/S12</f>
        <v>0</v>
      </c>
      <c r="Z12" s="291">
        <v>852335.72600000002</v>
      </c>
      <c r="AA12" s="291">
        <f>Z12-V12</f>
        <v>282770.04500000004</v>
      </c>
      <c r="AB12" s="274">
        <f>T12-V12</f>
        <v>0</v>
      </c>
      <c r="AC12" s="275">
        <f>AB12/S12</f>
        <v>0</v>
      </c>
      <c r="AD12" s="274">
        <v>0</v>
      </c>
      <c r="AE12" s="274">
        <v>0</v>
      </c>
      <c r="AF12" s="292">
        <f>AE12/S12</f>
        <v>0</v>
      </c>
      <c r="AG12" s="274">
        <v>0</v>
      </c>
      <c r="AH12" s="292">
        <f>AG12/U12</f>
        <v>0</v>
      </c>
      <c r="AI12" s="369">
        <f>U12-L12</f>
        <v>-0.11587949797253921</v>
      </c>
      <c r="AJ12" s="334" t="s">
        <v>370</v>
      </c>
      <c r="AK12" s="289" t="s">
        <v>371</v>
      </c>
      <c r="AL12" s="271" t="s">
        <v>372</v>
      </c>
      <c r="AM12" s="328">
        <v>46356</v>
      </c>
      <c r="AN12" s="286">
        <v>3979181.04</v>
      </c>
      <c r="AO12" s="286">
        <v>2037580.4469999999</v>
      </c>
      <c r="AP12" s="269">
        <v>583427.88899999997</v>
      </c>
      <c r="AQ12" s="286">
        <v>1154172.7039999999</v>
      </c>
      <c r="AR12" s="286">
        <v>204000</v>
      </c>
      <c r="AS12" s="286">
        <v>0</v>
      </c>
      <c r="AT12" s="286">
        <v>0</v>
      </c>
      <c r="AU12" s="285">
        <v>0</v>
      </c>
      <c r="AV12" s="267">
        <f>AQ12-AD12</f>
        <v>1154172.7039999999</v>
      </c>
      <c r="AW12" s="331" t="s">
        <v>373</v>
      </c>
      <c r="AX12" s="284" t="s">
        <v>374</v>
      </c>
    </row>
    <row r="13" spans="1:50" ht="381" customHeight="1" x14ac:dyDescent="0.2">
      <c r="A13" s="283">
        <v>4</v>
      </c>
      <c r="B13" s="283">
        <v>4</v>
      </c>
      <c r="C13" s="288" t="s">
        <v>346</v>
      </c>
      <c r="D13" s="288" t="s">
        <v>375</v>
      </c>
      <c r="E13" s="386" t="s">
        <v>376</v>
      </c>
      <c r="F13" s="296">
        <v>2.15463</v>
      </c>
      <c r="G13" s="296">
        <v>79.2</v>
      </c>
      <c r="H13" s="297">
        <v>44537</v>
      </c>
      <c r="I13" s="296" t="s">
        <v>377</v>
      </c>
      <c r="J13" s="295" t="s">
        <v>378</v>
      </c>
      <c r="K13" s="406">
        <v>0.85</v>
      </c>
      <c r="L13" s="406">
        <v>0.85</v>
      </c>
      <c r="M13" s="329">
        <f>L13-K13</f>
        <v>0</v>
      </c>
      <c r="N13" s="365">
        <v>10</v>
      </c>
      <c r="O13" s="365">
        <v>2</v>
      </c>
      <c r="P13" s="340">
        <v>44741</v>
      </c>
      <c r="Q13" s="340" t="s">
        <v>351</v>
      </c>
      <c r="R13" s="275">
        <v>1</v>
      </c>
      <c r="S13" s="291">
        <v>2622880.1529999999</v>
      </c>
      <c r="T13" s="291">
        <v>1873907.2549999999</v>
      </c>
      <c r="U13" s="292">
        <f>T13/S13</f>
        <v>0.71444638934671134</v>
      </c>
      <c r="V13" s="291">
        <v>1233511.7180000001</v>
      </c>
      <c r="W13" s="292">
        <f>V13/S13</f>
        <v>0.47028901285830127</v>
      </c>
      <c r="X13" s="291">
        <v>1174564.591</v>
      </c>
      <c r="Y13" s="292">
        <f>X13/S13</f>
        <v>0.44781481519716237</v>
      </c>
      <c r="Z13" s="291">
        <v>1294081.9269999999</v>
      </c>
      <c r="AA13" s="291">
        <f>Z13-V13</f>
        <v>60570.208999999799</v>
      </c>
      <c r="AB13" s="274">
        <f>T13-V13</f>
        <v>640395.53699999978</v>
      </c>
      <c r="AC13" s="275">
        <f>AB13/S13</f>
        <v>0.24415737648841015</v>
      </c>
      <c r="AD13" s="274">
        <v>0</v>
      </c>
      <c r="AE13" s="274">
        <v>0</v>
      </c>
      <c r="AF13" s="292">
        <f>AE13/S13</f>
        <v>0</v>
      </c>
      <c r="AG13" s="274">
        <v>0</v>
      </c>
      <c r="AH13" s="292">
        <f>AG13/U13</f>
        <v>0</v>
      </c>
      <c r="AI13" s="369">
        <f>U13-L13</f>
        <v>-0.13555361065328864</v>
      </c>
      <c r="AJ13" s="420">
        <v>46418</v>
      </c>
      <c r="AK13" s="272" t="s">
        <v>353</v>
      </c>
      <c r="AL13" s="288" t="s">
        <v>379</v>
      </c>
      <c r="AM13" s="328">
        <v>46371</v>
      </c>
      <c r="AN13" s="286">
        <v>2749049.79</v>
      </c>
      <c r="AO13" s="286">
        <v>1738216.281</v>
      </c>
      <c r="AP13" s="269">
        <v>222817.31899999999</v>
      </c>
      <c r="AQ13" s="286">
        <v>370000</v>
      </c>
      <c r="AR13" s="286">
        <v>387935.19</v>
      </c>
      <c r="AS13" s="286">
        <v>30081</v>
      </c>
      <c r="AT13" s="286">
        <v>0</v>
      </c>
      <c r="AU13" s="285">
        <v>0</v>
      </c>
      <c r="AV13" s="267">
        <f>AQ13-AD13</f>
        <v>370000</v>
      </c>
      <c r="AW13" s="331" t="s">
        <v>380</v>
      </c>
      <c r="AX13" s="284" t="s">
        <v>381</v>
      </c>
    </row>
    <row r="14" spans="1:50" s="418" customFormat="1" ht="90" customHeight="1" x14ac:dyDescent="1">
      <c r="A14" s="364">
        <v>2026</v>
      </c>
      <c r="B14" s="363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3"/>
      <c r="N14" s="363"/>
      <c r="O14" s="363"/>
      <c r="P14" s="363"/>
      <c r="Q14" s="363"/>
      <c r="R14" s="363"/>
      <c r="S14" s="363"/>
      <c r="T14" s="363"/>
      <c r="U14" s="363"/>
      <c r="V14" s="363"/>
      <c r="W14" s="363"/>
      <c r="X14" s="363"/>
      <c r="Y14" s="363"/>
      <c r="Z14" s="363"/>
      <c r="AA14" s="363"/>
      <c r="AB14" s="363"/>
      <c r="AC14" s="363"/>
      <c r="AD14" s="363"/>
      <c r="AE14" s="363"/>
      <c r="AF14" s="363"/>
      <c r="AG14" s="363"/>
      <c r="AH14" s="363"/>
      <c r="AI14" s="363"/>
      <c r="AJ14" s="363"/>
      <c r="AK14" s="363"/>
      <c r="AL14" s="363"/>
      <c r="AM14" s="363"/>
      <c r="AN14" s="363"/>
      <c r="AO14" s="363"/>
      <c r="AP14" s="363"/>
      <c r="AQ14" s="363"/>
      <c r="AR14" s="363"/>
      <c r="AS14" s="363"/>
      <c r="AT14" s="363"/>
      <c r="AU14" s="363"/>
      <c r="AV14" s="362"/>
      <c r="AW14" s="419"/>
      <c r="AX14" s="419"/>
    </row>
    <row r="15" spans="1:50" ht="140.1" customHeight="1" x14ac:dyDescent="0.5">
      <c r="A15" s="323"/>
      <c r="B15" s="323"/>
      <c r="C15" s="322"/>
      <c r="D15" s="321"/>
      <c r="E15" s="320"/>
      <c r="F15" s="319"/>
      <c r="G15" s="319"/>
      <c r="H15" s="319"/>
      <c r="I15" s="319"/>
      <c r="J15" s="315"/>
      <c r="K15" s="358"/>
      <c r="L15" s="358"/>
      <c r="M15" s="357"/>
      <c r="N15" s="357"/>
      <c r="O15" s="357"/>
      <c r="P15" s="315"/>
      <c r="Q15" s="315"/>
      <c r="R15" s="315"/>
      <c r="S15" s="269">
        <f>SUM(S16:S33)</f>
        <v>11030813.20984</v>
      </c>
      <c r="T15" s="269">
        <f>SUM(T16:T33)</f>
        <v>3563416.0255200001</v>
      </c>
      <c r="U15" s="316">
        <f>T15/S15</f>
        <v>0.32304200585513199</v>
      </c>
      <c r="V15" s="269">
        <f>SUM(V16:V33)</f>
        <v>2753462.0133100008</v>
      </c>
      <c r="W15" s="316">
        <f>V15/S15</f>
        <v>0.24961550530597185</v>
      </c>
      <c r="X15" s="269">
        <f>SUM(X16:X33)</f>
        <v>1183068.3317500001</v>
      </c>
      <c r="Y15" s="316">
        <f>X15/S15</f>
        <v>0.10725123426935088</v>
      </c>
      <c r="Z15" s="269">
        <f>SUM(Z16:Z33)</f>
        <v>4276044.5750700003</v>
      </c>
      <c r="AA15" s="269">
        <f>SUM(AA16:AA33)</f>
        <v>1522582.5617599997</v>
      </c>
      <c r="AB15" s="269">
        <f>SUM(AB16:AB33)</f>
        <v>809954.01220999996</v>
      </c>
      <c r="AC15" s="316">
        <f>AB15/S15</f>
        <v>7.3426500549160167E-2</v>
      </c>
      <c r="AD15" s="269">
        <f>SUM(AD16:AD33)</f>
        <v>1207517.9927900003</v>
      </c>
      <c r="AE15" s="269">
        <f>SUM(AE16:AE33)</f>
        <v>539648.18391999998</v>
      </c>
      <c r="AF15" s="316">
        <f>AE15/S15</f>
        <v>4.8921885780697352E-2</v>
      </c>
      <c r="AG15" s="269">
        <f>SUM(AG16:AG33)</f>
        <v>154886.11027</v>
      </c>
      <c r="AH15" s="316">
        <f>AG15/S15</f>
        <v>1.4041223192124619E-2</v>
      </c>
      <c r="AI15" s="316"/>
      <c r="AJ15" s="316"/>
      <c r="AK15" s="314"/>
      <c r="AL15" s="313"/>
      <c r="AM15" s="313"/>
      <c r="AN15" s="269">
        <f>SUM(AN16:AN33)</f>
        <v>16513940.332999997</v>
      </c>
      <c r="AO15" s="269">
        <f>SUM(AO16:AO33)</f>
        <v>668656.43999999994</v>
      </c>
      <c r="AP15" s="269">
        <f>SUM(AP16:AP33)</f>
        <v>2647900.0419999999</v>
      </c>
      <c r="AQ15" s="269">
        <f>SUM(AQ16:AQ33)</f>
        <v>5142792.8139999993</v>
      </c>
      <c r="AR15" s="269">
        <f>SUM(AR16:AR33)</f>
        <v>5783239.0939999996</v>
      </c>
      <c r="AS15" s="269">
        <f>SUM(AS16:AS33)</f>
        <v>2271351.943</v>
      </c>
      <c r="AT15" s="269">
        <f>SUM(AT16:AT33)</f>
        <v>0</v>
      </c>
      <c r="AU15" s="269">
        <f>SUM(AU16:AU33)</f>
        <v>0</v>
      </c>
      <c r="AV15" s="401">
        <f>SUM(AV16:AV33)</f>
        <v>3946920.84301</v>
      </c>
      <c r="AW15" s="400"/>
      <c r="AX15" s="400"/>
    </row>
    <row r="16" spans="1:50" ht="249.95" customHeight="1" x14ac:dyDescent="0.2">
      <c r="A16" s="283">
        <v>5</v>
      </c>
      <c r="B16" s="283">
        <v>1</v>
      </c>
      <c r="C16" s="288" t="s">
        <v>346</v>
      </c>
      <c r="D16" s="300" t="s">
        <v>382</v>
      </c>
      <c r="E16" s="336" t="s">
        <v>383</v>
      </c>
      <c r="F16" s="307">
        <v>3.1</v>
      </c>
      <c r="G16" s="307"/>
      <c r="H16" s="297">
        <v>45751</v>
      </c>
      <c r="I16" s="307" t="s">
        <v>384</v>
      </c>
      <c r="J16" s="306" t="s">
        <v>385</v>
      </c>
      <c r="K16" s="406">
        <v>0.06</v>
      </c>
      <c r="L16" s="406">
        <v>0.06</v>
      </c>
      <c r="M16" s="329">
        <f>L16-K16</f>
        <v>0</v>
      </c>
      <c r="N16" s="365">
        <v>4</v>
      </c>
      <c r="O16" s="365">
        <v>6</v>
      </c>
      <c r="P16" s="338" t="s">
        <v>386</v>
      </c>
      <c r="Q16" s="342" t="s">
        <v>351</v>
      </c>
      <c r="R16" s="275">
        <v>0</v>
      </c>
      <c r="S16" s="274">
        <v>1811942.1769999999</v>
      </c>
      <c r="T16" s="274">
        <f>116613.24219+11100.82106+180998.35788</f>
        <v>308712.42113000003</v>
      </c>
      <c r="U16" s="275">
        <f>T16/S16</f>
        <v>0.17037653024950808</v>
      </c>
      <c r="V16" s="274">
        <f>116613.24219+11100.82106+180998.35788</f>
        <v>308712.42113000003</v>
      </c>
      <c r="W16" s="275">
        <f>V16/S16</f>
        <v>0.17037653024950808</v>
      </c>
      <c r="X16" s="274">
        <v>0</v>
      </c>
      <c r="Y16" s="275">
        <f>X16/S16</f>
        <v>0</v>
      </c>
      <c r="Z16" s="274">
        <v>905971.08849999995</v>
      </c>
      <c r="AA16" s="274">
        <f>Z16-V16</f>
        <v>597258.66736999992</v>
      </c>
      <c r="AB16" s="274">
        <f>T16-V16</f>
        <v>0</v>
      </c>
      <c r="AC16" s="275">
        <f>AB16/S16</f>
        <v>0</v>
      </c>
      <c r="AD16" s="274">
        <f>100000+11100.82106+180998.35788</f>
        <v>292099.17894000001</v>
      </c>
      <c r="AE16" s="274">
        <v>100000</v>
      </c>
      <c r="AF16" s="292">
        <f>AE16/S16</f>
        <v>5.5189399126173114E-2</v>
      </c>
      <c r="AG16" s="274">
        <v>0</v>
      </c>
      <c r="AH16" s="292">
        <f>AG16/S16</f>
        <v>0</v>
      </c>
      <c r="AI16" s="373">
        <f>U16-L16</f>
        <v>0.11037653024950808</v>
      </c>
      <c r="AJ16" s="290">
        <v>46707</v>
      </c>
      <c r="AK16" s="289" t="s">
        <v>353</v>
      </c>
      <c r="AL16" s="300" t="s">
        <v>387</v>
      </c>
      <c r="AM16" s="305">
        <v>46646</v>
      </c>
      <c r="AN16" s="303">
        <v>2304970.0430000001</v>
      </c>
      <c r="AO16" s="303">
        <v>0</v>
      </c>
      <c r="AP16" s="299">
        <v>21687.317999999999</v>
      </c>
      <c r="AQ16" s="303">
        <v>521119.61599999998</v>
      </c>
      <c r="AR16" s="303">
        <v>660811.16599999997</v>
      </c>
      <c r="AS16" s="303">
        <v>1101351.943</v>
      </c>
      <c r="AT16" s="303">
        <v>0</v>
      </c>
      <c r="AU16" s="285">
        <v>0</v>
      </c>
      <c r="AV16" s="267">
        <f>AQ16-AD16</f>
        <v>229020.43705999997</v>
      </c>
      <c r="AW16" s="331" t="s">
        <v>388</v>
      </c>
      <c r="AX16" s="284" t="s">
        <v>389</v>
      </c>
    </row>
    <row r="17" spans="1:50" ht="249.95" customHeight="1" x14ac:dyDescent="0.2">
      <c r="A17" s="283">
        <v>6</v>
      </c>
      <c r="B17" s="283">
        <v>2</v>
      </c>
      <c r="C17" s="271" t="s">
        <v>346</v>
      </c>
      <c r="D17" s="337" t="s">
        <v>390</v>
      </c>
      <c r="E17" s="336" t="s">
        <v>391</v>
      </c>
      <c r="F17" s="414">
        <v>1.1373800000000001</v>
      </c>
      <c r="G17" s="335"/>
      <c r="H17" s="297">
        <v>45415</v>
      </c>
      <c r="I17" s="335" t="s">
        <v>392</v>
      </c>
      <c r="J17" s="334" t="s">
        <v>385</v>
      </c>
      <c r="K17" s="417">
        <v>0.3861</v>
      </c>
      <c r="L17" s="417">
        <v>0.39</v>
      </c>
      <c r="M17" s="329">
        <f>L17-K17</f>
        <v>3.9000000000000146E-3</v>
      </c>
      <c r="N17" s="365">
        <v>20</v>
      </c>
      <c r="O17" s="365">
        <v>6</v>
      </c>
      <c r="P17" s="416">
        <v>45651</v>
      </c>
      <c r="Q17" s="415"/>
      <c r="R17" s="275"/>
      <c r="S17" s="274">
        <v>1621821.92062</v>
      </c>
      <c r="T17" s="274">
        <v>652721.41547000001</v>
      </c>
      <c r="U17" s="275">
        <f>T17/S17</f>
        <v>0.40246182837414951</v>
      </c>
      <c r="V17" s="274">
        <v>429374.217</v>
      </c>
      <c r="W17" s="275">
        <f>V17/S17</f>
        <v>0.26474806607365142</v>
      </c>
      <c r="X17" s="274">
        <v>302683.82123</v>
      </c>
      <c r="Y17" s="275">
        <f>X17/S17</f>
        <v>0.18663197073713753</v>
      </c>
      <c r="Z17" s="274">
        <v>429374.217</v>
      </c>
      <c r="AA17" s="274">
        <f>Z17-V17</f>
        <v>0</v>
      </c>
      <c r="AB17" s="274">
        <f>T17-V17</f>
        <v>223347.19847</v>
      </c>
      <c r="AC17" s="275">
        <f>AB17/S17</f>
        <v>0.13771376230049812</v>
      </c>
      <c r="AD17" s="274">
        <f>14890.20543+3416.463+661.93709+4451.74573</f>
        <v>23420.35125</v>
      </c>
      <c r="AE17" s="274">
        <v>0</v>
      </c>
      <c r="AF17" s="292">
        <f>AE17/S17</f>
        <v>0</v>
      </c>
      <c r="AG17" s="274">
        <v>0</v>
      </c>
      <c r="AH17" s="292">
        <f>AG17/S17</f>
        <v>0</v>
      </c>
      <c r="AI17" s="369">
        <f>U17-L17</f>
        <v>1.2461828374149497E-2</v>
      </c>
      <c r="AJ17" s="273">
        <v>46178</v>
      </c>
      <c r="AK17" s="272" t="s">
        <v>353</v>
      </c>
      <c r="AL17" s="337" t="s">
        <v>393</v>
      </c>
      <c r="AM17" s="327">
        <v>46178</v>
      </c>
      <c r="AN17" s="299">
        <v>1944671.3929999999</v>
      </c>
      <c r="AO17" s="299">
        <v>114073.51300000001</v>
      </c>
      <c r="AP17" s="299">
        <v>644717.848</v>
      </c>
      <c r="AQ17" s="299">
        <v>293000</v>
      </c>
      <c r="AR17" s="299">
        <v>732880.03200000001</v>
      </c>
      <c r="AS17" s="299">
        <v>160000</v>
      </c>
      <c r="AT17" s="299">
        <v>0</v>
      </c>
      <c r="AU17" s="268">
        <v>0</v>
      </c>
      <c r="AV17" s="267">
        <f>AQ17-AD17</f>
        <v>269579.64874999999</v>
      </c>
      <c r="AW17" s="331" t="s">
        <v>394</v>
      </c>
      <c r="AX17" s="284" t="s">
        <v>395</v>
      </c>
    </row>
    <row r="18" spans="1:50" ht="347.25" customHeight="1" x14ac:dyDescent="0.2">
      <c r="A18" s="283">
        <v>7</v>
      </c>
      <c r="B18" s="283">
        <v>3</v>
      </c>
      <c r="C18" s="288" t="s">
        <v>346</v>
      </c>
      <c r="D18" s="337" t="s">
        <v>396</v>
      </c>
      <c r="E18" s="336" t="s">
        <v>397</v>
      </c>
      <c r="F18" s="414">
        <v>1.6227199999999999</v>
      </c>
      <c r="G18" s="335"/>
      <c r="H18" s="280">
        <v>45561</v>
      </c>
      <c r="I18" s="335" t="s">
        <v>398</v>
      </c>
      <c r="J18" s="334" t="s">
        <v>350</v>
      </c>
      <c r="K18" s="413">
        <v>0.154</v>
      </c>
      <c r="L18" s="413">
        <v>0.16</v>
      </c>
      <c r="M18" s="329">
        <f>L18-K18</f>
        <v>6.0000000000000053E-3</v>
      </c>
      <c r="N18" s="365">
        <v>13</v>
      </c>
      <c r="O18" s="365">
        <v>5</v>
      </c>
      <c r="P18" s="384">
        <v>46014</v>
      </c>
      <c r="Q18" s="384" t="s">
        <v>351</v>
      </c>
      <c r="R18" s="275">
        <v>0.4</v>
      </c>
      <c r="S18" s="274">
        <v>1302925.3591799999</v>
      </c>
      <c r="T18" s="274">
        <v>390877.60775000002</v>
      </c>
      <c r="U18" s="275">
        <f>T18/S18</f>
        <v>0.29999999999693</v>
      </c>
      <c r="V18" s="274">
        <v>390877.60775000002</v>
      </c>
      <c r="W18" s="275">
        <f>V18/S18</f>
        <v>0.29999999999693</v>
      </c>
      <c r="X18" s="274">
        <v>0</v>
      </c>
      <c r="Y18" s="275">
        <f>X18/S18</f>
        <v>0</v>
      </c>
      <c r="Z18" s="274">
        <v>390877.60775000002</v>
      </c>
      <c r="AA18" s="274">
        <f>Z18-V18</f>
        <v>0</v>
      </c>
      <c r="AB18" s="274">
        <f>T18-V18</f>
        <v>0</v>
      </c>
      <c r="AC18" s="275">
        <f>AB18/S18</f>
        <v>0</v>
      </c>
      <c r="AD18" s="274">
        <v>0</v>
      </c>
      <c r="AE18" s="274">
        <v>0</v>
      </c>
      <c r="AF18" s="292">
        <f>AE18/S18</f>
        <v>0</v>
      </c>
      <c r="AG18" s="274">
        <v>0</v>
      </c>
      <c r="AH18" s="292">
        <f>AG18/S18</f>
        <v>0</v>
      </c>
      <c r="AI18" s="373">
        <f>U18-L18</f>
        <v>0.13999999999693</v>
      </c>
      <c r="AJ18" s="290">
        <v>46681</v>
      </c>
      <c r="AK18" s="272" t="s">
        <v>353</v>
      </c>
      <c r="AL18" s="337" t="s">
        <v>399</v>
      </c>
      <c r="AM18" s="327">
        <v>46692</v>
      </c>
      <c r="AN18" s="299">
        <v>1904463.2779999999</v>
      </c>
      <c r="AO18" s="299">
        <v>23578.163</v>
      </c>
      <c r="AP18" s="299">
        <v>386292.033</v>
      </c>
      <c r="AQ18" s="299">
        <v>332977.19699999999</v>
      </c>
      <c r="AR18" s="299">
        <v>810615.88500000001</v>
      </c>
      <c r="AS18" s="299">
        <v>351000</v>
      </c>
      <c r="AT18" s="303">
        <v>0</v>
      </c>
      <c r="AU18" s="285">
        <v>0</v>
      </c>
      <c r="AV18" s="267">
        <f>AQ18-AD18</f>
        <v>332977.19699999999</v>
      </c>
      <c r="AW18" s="331" t="s">
        <v>400</v>
      </c>
      <c r="AX18" s="284" t="s">
        <v>401</v>
      </c>
    </row>
    <row r="19" spans="1:50" ht="249.95" customHeight="1" x14ac:dyDescent="0.2">
      <c r="A19" s="283">
        <v>8</v>
      </c>
      <c r="B19" s="283">
        <v>4</v>
      </c>
      <c r="C19" s="288" t="s">
        <v>346</v>
      </c>
      <c r="D19" s="300" t="s">
        <v>367</v>
      </c>
      <c r="E19" s="308" t="s">
        <v>402</v>
      </c>
      <c r="F19" s="307">
        <v>0.43</v>
      </c>
      <c r="G19" s="307"/>
      <c r="H19" s="297">
        <v>45608</v>
      </c>
      <c r="I19" s="307" t="s">
        <v>403</v>
      </c>
      <c r="J19" s="306" t="s">
        <v>404</v>
      </c>
      <c r="K19" s="405">
        <v>0.65</v>
      </c>
      <c r="L19" s="405">
        <v>0.65</v>
      </c>
      <c r="M19" s="411">
        <f>L19-K19</f>
        <v>0</v>
      </c>
      <c r="N19" s="365">
        <v>37</v>
      </c>
      <c r="O19" s="365">
        <v>7</v>
      </c>
      <c r="P19" s="340">
        <v>46016</v>
      </c>
      <c r="Q19" s="328"/>
      <c r="R19" s="275"/>
      <c r="S19" s="274">
        <v>901195.08735000005</v>
      </c>
      <c r="T19" s="274">
        <v>211292.35373999999</v>
      </c>
      <c r="U19" s="275">
        <f>T19/S19</f>
        <v>0.23445795112056542</v>
      </c>
      <c r="V19" s="274">
        <v>109132.48992000001</v>
      </c>
      <c r="W19" s="275">
        <f>V19/S19</f>
        <v>0.12109751978443251</v>
      </c>
      <c r="X19" s="274">
        <v>151152.21299999999</v>
      </c>
      <c r="Y19" s="275">
        <f>X19/S19</f>
        <v>0.16772418660699659</v>
      </c>
      <c r="Z19" s="274">
        <v>468593.03561000002</v>
      </c>
      <c r="AA19" s="274">
        <f>Z19-V19</f>
        <v>359460.54569</v>
      </c>
      <c r="AB19" s="274">
        <f>T19-V19</f>
        <v>102159.86381999998</v>
      </c>
      <c r="AC19" s="275">
        <f>AB19/S19</f>
        <v>0.11336043133613291</v>
      </c>
      <c r="AD19" s="274">
        <f>10672.06081+8218.69154+24073.79319+48172.0337+9098.95556+750.53962+1173.7894</f>
        <v>102159.86382</v>
      </c>
      <c r="AE19" s="274">
        <v>0</v>
      </c>
      <c r="AF19" s="292">
        <f>AE19/S19</f>
        <v>0</v>
      </c>
      <c r="AG19" s="274">
        <v>0</v>
      </c>
      <c r="AH19" s="292">
        <f>AG19/S19</f>
        <v>0</v>
      </c>
      <c r="AI19" s="369">
        <f>U19-L19</f>
        <v>-0.41554204887943458</v>
      </c>
      <c r="AJ19" s="290">
        <v>46748</v>
      </c>
      <c r="AK19" s="289" t="s">
        <v>353</v>
      </c>
      <c r="AL19" s="300" t="s">
        <v>405</v>
      </c>
      <c r="AM19" s="305">
        <v>46748</v>
      </c>
      <c r="AN19" s="303">
        <v>1618000</v>
      </c>
      <c r="AO19" s="303">
        <v>14132.49</v>
      </c>
      <c r="AP19" s="299">
        <v>105319.488</v>
      </c>
      <c r="AQ19" s="303">
        <v>313424.864</v>
      </c>
      <c r="AR19" s="303">
        <v>526123.15800000005</v>
      </c>
      <c r="AS19" s="303">
        <v>659000</v>
      </c>
      <c r="AT19" s="303">
        <v>0</v>
      </c>
      <c r="AU19" s="285">
        <v>0</v>
      </c>
      <c r="AV19" s="267">
        <f>AQ19-AD19</f>
        <v>211265.00018</v>
      </c>
      <c r="AW19" s="331" t="s">
        <v>406</v>
      </c>
      <c r="AX19" s="284" t="s">
        <v>407</v>
      </c>
    </row>
    <row r="20" spans="1:50" ht="249.95" customHeight="1" x14ac:dyDescent="0.2">
      <c r="A20" s="283">
        <v>9</v>
      </c>
      <c r="B20" s="283">
        <v>5</v>
      </c>
      <c r="C20" s="288" t="s">
        <v>346</v>
      </c>
      <c r="D20" s="300" t="s">
        <v>347</v>
      </c>
      <c r="E20" s="308" t="s">
        <v>408</v>
      </c>
      <c r="F20" s="412">
        <v>1.2867999999999999</v>
      </c>
      <c r="G20" s="307"/>
      <c r="H20" s="297">
        <v>45629</v>
      </c>
      <c r="I20" s="307" t="s">
        <v>409</v>
      </c>
      <c r="J20" s="306" t="s">
        <v>410</v>
      </c>
      <c r="K20" s="405">
        <v>0.87</v>
      </c>
      <c r="L20" s="405">
        <v>0.87</v>
      </c>
      <c r="M20" s="411">
        <f>L20-K20</f>
        <v>0</v>
      </c>
      <c r="N20" s="365">
        <v>10</v>
      </c>
      <c r="O20" s="365">
        <v>4</v>
      </c>
      <c r="P20" s="409">
        <v>45853</v>
      </c>
      <c r="Q20" s="339"/>
      <c r="R20" s="275"/>
      <c r="S20" s="274">
        <v>544100.68746000004</v>
      </c>
      <c r="T20" s="274">
        <v>421736.05375000002</v>
      </c>
      <c r="U20" s="275">
        <f>T20/S20</f>
        <v>0.77510663645504818</v>
      </c>
      <c r="V20" s="274">
        <v>153120.47537</v>
      </c>
      <c r="W20" s="275">
        <f>V20/S20</f>
        <v>0.28141937494107055</v>
      </c>
      <c r="X20" s="274">
        <v>369294.06787000003</v>
      </c>
      <c r="Y20" s="275">
        <f>X20/S20</f>
        <v>0.6787237663564778</v>
      </c>
      <c r="Z20" s="274">
        <v>153120.47537</v>
      </c>
      <c r="AA20" s="274">
        <f>Z20-V20</f>
        <v>0</v>
      </c>
      <c r="AB20" s="274">
        <f>T20-V20</f>
        <v>268615.57838000002</v>
      </c>
      <c r="AC20" s="275">
        <f>AB20/S20</f>
        <v>0.49368726151397757</v>
      </c>
      <c r="AD20" s="274">
        <f>909.19272+39833.69239+478.75673+106079.39733+3566.0886+4018.9825</f>
        <v>154886.11027</v>
      </c>
      <c r="AE20" s="274">
        <v>0</v>
      </c>
      <c r="AF20" s="292">
        <f>AE20/S20</f>
        <v>0</v>
      </c>
      <c r="AG20" s="274">
        <f>AD20-AE20</f>
        <v>154886.11027</v>
      </c>
      <c r="AH20" s="292">
        <f>AG20/S20</f>
        <v>0.28466442671309172</v>
      </c>
      <c r="AI20" s="369">
        <f>U20-L20</f>
        <v>-9.4893363544951814E-2</v>
      </c>
      <c r="AJ20" s="290">
        <v>46188</v>
      </c>
      <c r="AK20" s="289" t="s">
        <v>353</v>
      </c>
      <c r="AL20" s="300" t="s">
        <v>411</v>
      </c>
      <c r="AM20" s="328">
        <v>46721</v>
      </c>
      <c r="AN20" s="303">
        <v>1156180.068</v>
      </c>
      <c r="AO20" s="303">
        <v>5083.7820000000002</v>
      </c>
      <c r="AP20" s="299">
        <v>382383.61900000001</v>
      </c>
      <c r="AQ20" s="303">
        <v>184000</v>
      </c>
      <c r="AR20" s="303">
        <v>584712.66700000002</v>
      </c>
      <c r="AS20" s="303">
        <v>0</v>
      </c>
      <c r="AT20" s="303">
        <v>0</v>
      </c>
      <c r="AU20" s="285">
        <v>0</v>
      </c>
      <c r="AV20" s="267">
        <f>AQ20-AD20</f>
        <v>29113.889729999995</v>
      </c>
      <c r="AW20" s="331" t="s">
        <v>412</v>
      </c>
      <c r="AX20" s="284" t="s">
        <v>413</v>
      </c>
    </row>
    <row r="21" spans="1:50" ht="249.95" customHeight="1" x14ac:dyDescent="0.2">
      <c r="A21" s="283">
        <v>10</v>
      </c>
      <c r="B21" s="283">
        <v>6</v>
      </c>
      <c r="C21" s="288" t="s">
        <v>346</v>
      </c>
      <c r="D21" s="288" t="s">
        <v>414</v>
      </c>
      <c r="E21" s="298" t="s">
        <v>415</v>
      </c>
      <c r="F21" s="296" t="s">
        <v>416</v>
      </c>
      <c r="G21" s="296"/>
      <c r="H21" s="297">
        <v>45866</v>
      </c>
      <c r="I21" s="296" t="s">
        <v>417</v>
      </c>
      <c r="J21" s="295" t="s">
        <v>404</v>
      </c>
      <c r="K21" s="390" t="s">
        <v>418</v>
      </c>
      <c r="L21" s="389"/>
      <c r="M21" s="389"/>
      <c r="N21" s="389"/>
      <c r="O21" s="388"/>
      <c r="P21" s="338" t="s">
        <v>419</v>
      </c>
      <c r="Q21" s="337"/>
      <c r="R21" s="275"/>
      <c r="S21" s="274">
        <v>942039.36959000002</v>
      </c>
      <c r="T21" s="274">
        <v>125424.37330000001</v>
      </c>
      <c r="U21" s="275">
        <f>T21/S21</f>
        <v>0.13314132864169781</v>
      </c>
      <c r="V21" s="274">
        <v>125424.37330000001</v>
      </c>
      <c r="W21" s="275">
        <f>V21/S21</f>
        <v>0.13314132864169781</v>
      </c>
      <c r="X21" s="274">
        <v>0</v>
      </c>
      <c r="Y21" s="275">
        <f>X21/S21</f>
        <v>0</v>
      </c>
      <c r="Z21" s="274">
        <v>471019.68479999999</v>
      </c>
      <c r="AA21" s="274">
        <f>Z21-V21</f>
        <v>345595.31149999995</v>
      </c>
      <c r="AB21" s="274">
        <f>T21-V21</f>
        <v>0</v>
      </c>
      <c r="AC21" s="275">
        <f>AB21/S21</f>
        <v>0</v>
      </c>
      <c r="AD21" s="274">
        <v>111000</v>
      </c>
      <c r="AE21" s="274">
        <v>111000</v>
      </c>
      <c r="AF21" s="292">
        <f>AE21/S21</f>
        <v>0.11782947038435355</v>
      </c>
      <c r="AG21" s="274">
        <v>0</v>
      </c>
      <c r="AH21" s="292">
        <f>AG21/S21</f>
        <v>0</v>
      </c>
      <c r="AI21" s="373">
        <f>U21-L21</f>
        <v>0.13314132864169781</v>
      </c>
      <c r="AJ21" s="290">
        <v>46707</v>
      </c>
      <c r="AK21" s="289" t="s">
        <v>353</v>
      </c>
      <c r="AL21" s="271" t="s">
        <v>420</v>
      </c>
      <c r="AM21" s="328">
        <v>46660</v>
      </c>
      <c r="AN21" s="269">
        <v>1028662.895</v>
      </c>
      <c r="AO21" s="286">
        <v>49391.23</v>
      </c>
      <c r="AP21" s="269">
        <v>14424.373</v>
      </c>
      <c r="AQ21" s="286">
        <v>245168.23599999998</v>
      </c>
      <c r="AR21" s="286">
        <v>719679.05599999998</v>
      </c>
      <c r="AS21" s="286">
        <v>0</v>
      </c>
      <c r="AT21" s="286">
        <v>0</v>
      </c>
      <c r="AU21" s="285">
        <v>0</v>
      </c>
      <c r="AV21" s="267">
        <f>AQ21-AD21</f>
        <v>134168.23599999998</v>
      </c>
      <c r="AW21" s="331" t="s">
        <v>421</v>
      </c>
      <c r="AX21" s="284" t="s">
        <v>422</v>
      </c>
    </row>
    <row r="22" spans="1:50" ht="249.95" customHeight="1" x14ac:dyDescent="0.2">
      <c r="A22" s="283">
        <v>11</v>
      </c>
      <c r="B22" s="283">
        <v>7</v>
      </c>
      <c r="C22" s="271" t="s">
        <v>423</v>
      </c>
      <c r="D22" s="337" t="s">
        <v>424</v>
      </c>
      <c r="E22" s="336" t="s">
        <v>425</v>
      </c>
      <c r="F22" s="335"/>
      <c r="G22" s="335"/>
      <c r="H22" s="280">
        <v>46010</v>
      </c>
      <c r="I22" s="335" t="s">
        <v>426</v>
      </c>
      <c r="J22" s="334" t="s">
        <v>427</v>
      </c>
      <c r="K22" s="410">
        <v>0.15</v>
      </c>
      <c r="L22" s="410">
        <v>0.15</v>
      </c>
      <c r="M22" s="411">
        <f>L22-K22</f>
        <v>0</v>
      </c>
      <c r="N22" s="365">
        <v>19</v>
      </c>
      <c r="O22" s="365">
        <v>2</v>
      </c>
      <c r="P22" s="340">
        <v>45383</v>
      </c>
      <c r="Q22" s="340" t="s">
        <v>351</v>
      </c>
      <c r="R22" s="275">
        <v>1</v>
      </c>
      <c r="S22" s="274">
        <v>518876.97165999998</v>
      </c>
      <c r="T22" s="274">
        <v>155663.09150000001</v>
      </c>
      <c r="U22" s="275">
        <f>T22/S22</f>
        <v>0.30000000000385452</v>
      </c>
      <c r="V22" s="274">
        <v>155663.09150000001</v>
      </c>
      <c r="W22" s="275">
        <f>V22/S22</f>
        <v>0.30000000000385452</v>
      </c>
      <c r="X22" s="274">
        <v>0</v>
      </c>
      <c r="Y22" s="275">
        <f>X22/S22</f>
        <v>0</v>
      </c>
      <c r="Z22" s="274">
        <v>155663.09150000001</v>
      </c>
      <c r="AA22" s="274">
        <f>Z22-V22</f>
        <v>0</v>
      </c>
      <c r="AB22" s="274">
        <f>T22-V22</f>
        <v>0</v>
      </c>
      <c r="AC22" s="275">
        <f>AB22/S22</f>
        <v>0</v>
      </c>
      <c r="AD22" s="274">
        <v>122581.26512</v>
      </c>
      <c r="AE22" s="274">
        <v>122581.26512</v>
      </c>
      <c r="AF22" s="275">
        <f>AE22/S22</f>
        <v>0.23624340993171453</v>
      </c>
      <c r="AG22" s="274">
        <v>0</v>
      </c>
      <c r="AH22" s="275">
        <f>AG22/S22</f>
        <v>0</v>
      </c>
      <c r="AI22" s="373">
        <f>U22-L22</f>
        <v>0.15000000000385452</v>
      </c>
      <c r="AJ22" s="273">
        <v>46383</v>
      </c>
      <c r="AK22" s="272" t="s">
        <v>353</v>
      </c>
      <c r="AL22" s="328" t="s">
        <v>428</v>
      </c>
      <c r="AM22" s="328">
        <v>46746</v>
      </c>
      <c r="AN22" s="269">
        <v>960607.95</v>
      </c>
      <c r="AO22" s="299">
        <v>234758.891</v>
      </c>
      <c r="AP22" s="299">
        <v>211584.217</v>
      </c>
      <c r="AQ22" s="299">
        <v>404264.842</v>
      </c>
      <c r="AR22" s="299">
        <v>110000</v>
      </c>
      <c r="AS22" s="299">
        <v>0</v>
      </c>
      <c r="AT22" s="299">
        <v>0</v>
      </c>
      <c r="AU22" s="268">
        <v>0</v>
      </c>
      <c r="AV22" s="267">
        <f>AQ22-AD22</f>
        <v>281683.57688000001</v>
      </c>
      <c r="AW22" s="376" t="s">
        <v>429</v>
      </c>
      <c r="AX22" s="266" t="s">
        <v>430</v>
      </c>
    </row>
    <row r="23" spans="1:50" ht="249.95" customHeight="1" x14ac:dyDescent="0.2">
      <c r="A23" s="283">
        <v>12</v>
      </c>
      <c r="B23" s="283">
        <v>8</v>
      </c>
      <c r="C23" s="271" t="s">
        <v>431</v>
      </c>
      <c r="D23" s="337" t="s">
        <v>432</v>
      </c>
      <c r="E23" s="336" t="s">
        <v>433</v>
      </c>
      <c r="F23" s="335"/>
      <c r="G23" s="335"/>
      <c r="H23" s="280">
        <v>45632</v>
      </c>
      <c r="I23" s="335" t="s">
        <v>434</v>
      </c>
      <c r="J23" s="334" t="s">
        <v>435</v>
      </c>
      <c r="K23" s="406">
        <v>0.01</v>
      </c>
      <c r="L23" s="406">
        <v>0.08</v>
      </c>
      <c r="M23" s="329">
        <f>L23-K23</f>
        <v>7.0000000000000007E-2</v>
      </c>
      <c r="N23" s="365">
        <v>12</v>
      </c>
      <c r="O23" s="365">
        <v>3</v>
      </c>
      <c r="P23" s="340">
        <v>46000</v>
      </c>
      <c r="Q23" s="340" t="s">
        <v>351</v>
      </c>
      <c r="R23" s="275">
        <v>0.28999999999999998</v>
      </c>
      <c r="S23" s="274">
        <v>765893.45733999996</v>
      </c>
      <c r="T23" s="274">
        <v>129000</v>
      </c>
      <c r="U23" s="275">
        <f>T23/S23</f>
        <v>0.16843073767469666</v>
      </c>
      <c r="V23" s="274">
        <v>129000</v>
      </c>
      <c r="W23" s="275">
        <f>V23/S23</f>
        <v>0.16843073767469666</v>
      </c>
      <c r="X23" s="274">
        <v>0</v>
      </c>
      <c r="Y23" s="275">
        <f>X23/S23</f>
        <v>0</v>
      </c>
      <c r="Z23" s="274">
        <v>229768.03719999999</v>
      </c>
      <c r="AA23" s="274">
        <f>Z23-V23</f>
        <v>100768.03719999999</v>
      </c>
      <c r="AB23" s="274">
        <f>T23-V23</f>
        <v>0</v>
      </c>
      <c r="AC23" s="275">
        <f>AB23/S23</f>
        <v>0</v>
      </c>
      <c r="AD23" s="274">
        <v>0</v>
      </c>
      <c r="AE23" s="274">
        <v>0</v>
      </c>
      <c r="AF23" s="292">
        <f>AE23/S23</f>
        <v>0</v>
      </c>
      <c r="AG23" s="274">
        <v>0</v>
      </c>
      <c r="AH23" s="292">
        <f>AG23/S23</f>
        <v>0</v>
      </c>
      <c r="AI23" s="369">
        <f>U23-L23</f>
        <v>8.8430737674696655E-2</v>
      </c>
      <c r="AJ23" s="290">
        <v>46408</v>
      </c>
      <c r="AK23" s="272" t="s">
        <v>353</v>
      </c>
      <c r="AL23" s="328" t="s">
        <v>436</v>
      </c>
      <c r="AM23" s="328">
        <v>46446</v>
      </c>
      <c r="AN23" s="269">
        <v>880918.23300000012</v>
      </c>
      <c r="AO23" s="299">
        <v>10000</v>
      </c>
      <c r="AP23" s="299">
        <v>122900.033</v>
      </c>
      <c r="AQ23" s="299">
        <v>740884.52300000004</v>
      </c>
      <c r="AR23" s="299">
        <v>7133.6769999999997</v>
      </c>
      <c r="AS23" s="299">
        <v>0</v>
      </c>
      <c r="AT23" s="299">
        <v>0</v>
      </c>
      <c r="AU23" s="268">
        <v>0</v>
      </c>
      <c r="AV23" s="267">
        <f>AQ23-AD23</f>
        <v>740884.52300000004</v>
      </c>
      <c r="AW23" s="331" t="s">
        <v>437</v>
      </c>
      <c r="AX23" s="284" t="s">
        <v>438</v>
      </c>
    </row>
    <row r="24" spans="1:50" ht="249.95" customHeight="1" x14ac:dyDescent="0.2">
      <c r="A24" s="283">
        <v>13</v>
      </c>
      <c r="B24" s="283">
        <v>9</v>
      </c>
      <c r="C24" s="288" t="s">
        <v>431</v>
      </c>
      <c r="D24" s="300" t="s">
        <v>439</v>
      </c>
      <c r="E24" s="336" t="s">
        <v>440</v>
      </c>
      <c r="F24" s="307"/>
      <c r="G24" s="307"/>
      <c r="H24" s="297">
        <v>45642</v>
      </c>
      <c r="I24" s="307" t="s">
        <v>441</v>
      </c>
      <c r="J24" s="306" t="s">
        <v>442</v>
      </c>
      <c r="K24" s="410">
        <v>0.15</v>
      </c>
      <c r="L24" s="410">
        <v>0.15</v>
      </c>
      <c r="M24" s="329">
        <f>L24-K24</f>
        <v>0</v>
      </c>
      <c r="N24" s="365">
        <v>0</v>
      </c>
      <c r="O24" s="365">
        <v>2</v>
      </c>
      <c r="P24" s="344" t="s">
        <v>443</v>
      </c>
      <c r="Q24" s="342" t="s">
        <v>351</v>
      </c>
      <c r="R24" s="275">
        <v>1</v>
      </c>
      <c r="S24" s="274">
        <v>341829.42757</v>
      </c>
      <c r="T24" s="274">
        <v>102548.82827</v>
      </c>
      <c r="U24" s="275">
        <f>T24/S24</f>
        <v>0.29999999999707455</v>
      </c>
      <c r="V24" s="274">
        <v>102548.82827</v>
      </c>
      <c r="W24" s="275">
        <f>V24/S24</f>
        <v>0.29999999999707455</v>
      </c>
      <c r="X24" s="274">
        <v>0</v>
      </c>
      <c r="Y24" s="275">
        <f>X24/S24</f>
        <v>0</v>
      </c>
      <c r="Z24" s="274">
        <v>102548.82827</v>
      </c>
      <c r="AA24" s="274">
        <f>Z24-V24</f>
        <v>0</v>
      </c>
      <c r="AB24" s="274">
        <f>T24-V24</f>
        <v>0</v>
      </c>
      <c r="AC24" s="275">
        <f>AB24/S24</f>
        <v>0</v>
      </c>
      <c r="AD24" s="274">
        <v>0</v>
      </c>
      <c r="AE24" s="274">
        <v>0</v>
      </c>
      <c r="AF24" s="292">
        <f>AE24/S24</f>
        <v>0</v>
      </c>
      <c r="AG24" s="274">
        <v>0</v>
      </c>
      <c r="AH24" s="292">
        <f>AG24/S24</f>
        <v>0</v>
      </c>
      <c r="AI24" s="373">
        <f>U24-L24</f>
        <v>0.14999999999707456</v>
      </c>
      <c r="AJ24" s="290">
        <v>46763</v>
      </c>
      <c r="AK24" s="289" t="s">
        <v>353</v>
      </c>
      <c r="AL24" s="287" t="s">
        <v>444</v>
      </c>
      <c r="AM24" s="287">
        <v>46646</v>
      </c>
      <c r="AN24" s="286">
        <v>800000</v>
      </c>
      <c r="AO24" s="303">
        <v>0</v>
      </c>
      <c r="AP24" s="299">
        <v>106192.07100000001</v>
      </c>
      <c r="AQ24" s="303">
        <v>235320.011</v>
      </c>
      <c r="AR24" s="303">
        <v>458487.91799999995</v>
      </c>
      <c r="AS24" s="303">
        <v>0</v>
      </c>
      <c r="AT24" s="303">
        <v>0</v>
      </c>
      <c r="AU24" s="285">
        <v>0</v>
      </c>
      <c r="AV24" s="267">
        <f>AQ24-AD24</f>
        <v>235320.011</v>
      </c>
      <c r="AW24" s="331" t="s">
        <v>445</v>
      </c>
      <c r="AX24" s="284" t="s">
        <v>446</v>
      </c>
    </row>
    <row r="25" spans="1:50" ht="249.95" customHeight="1" x14ac:dyDescent="0.2">
      <c r="A25" s="283">
        <v>14</v>
      </c>
      <c r="B25" s="283">
        <v>10</v>
      </c>
      <c r="C25" s="288" t="s">
        <v>431</v>
      </c>
      <c r="D25" s="300" t="s">
        <v>447</v>
      </c>
      <c r="E25" s="308" t="s">
        <v>448</v>
      </c>
      <c r="F25" s="307"/>
      <c r="G25" s="307"/>
      <c r="H25" s="307"/>
      <c r="I25" s="307"/>
      <c r="J25" s="403" t="s">
        <v>449</v>
      </c>
      <c r="K25" s="330"/>
      <c r="L25" s="330"/>
      <c r="M25" s="329"/>
      <c r="N25" s="365"/>
      <c r="O25" s="365"/>
      <c r="P25" s="292"/>
      <c r="Q25" s="275"/>
      <c r="R25" s="275"/>
      <c r="S25" s="274"/>
      <c r="T25" s="274"/>
      <c r="U25" s="275"/>
      <c r="V25" s="274"/>
      <c r="W25" s="275"/>
      <c r="X25" s="274"/>
      <c r="Y25" s="275"/>
      <c r="Z25" s="274"/>
      <c r="AA25" s="274"/>
      <c r="AB25" s="274"/>
      <c r="AC25" s="275"/>
      <c r="AD25" s="274"/>
      <c r="AE25" s="274"/>
      <c r="AF25" s="292"/>
      <c r="AG25" s="274"/>
      <c r="AH25" s="292"/>
      <c r="AI25" s="292"/>
      <c r="AJ25" s="290"/>
      <c r="AK25" s="272" t="s">
        <v>353</v>
      </c>
      <c r="AL25" s="328" t="s">
        <v>450</v>
      </c>
      <c r="AM25" s="328">
        <v>46384</v>
      </c>
      <c r="AN25" s="269">
        <v>759019.54099999997</v>
      </c>
      <c r="AO25" s="299">
        <v>0</v>
      </c>
      <c r="AP25" s="299">
        <v>0</v>
      </c>
      <c r="AQ25" s="299">
        <v>759019.54099999997</v>
      </c>
      <c r="AR25" s="299">
        <v>0</v>
      </c>
      <c r="AS25" s="303">
        <v>0</v>
      </c>
      <c r="AT25" s="303">
        <v>0</v>
      </c>
      <c r="AU25" s="285">
        <v>0</v>
      </c>
      <c r="AV25" s="267">
        <f>AQ25-AD25</f>
        <v>759019.54099999997</v>
      </c>
      <c r="AW25" s="331" t="s">
        <v>451</v>
      </c>
      <c r="AX25" s="284" t="s">
        <v>452</v>
      </c>
    </row>
    <row r="26" spans="1:50" ht="249.95" customHeight="1" x14ac:dyDescent="0.2">
      <c r="A26" s="283">
        <v>15</v>
      </c>
      <c r="B26" s="283">
        <v>11</v>
      </c>
      <c r="C26" s="271" t="s">
        <v>346</v>
      </c>
      <c r="D26" s="271" t="s">
        <v>367</v>
      </c>
      <c r="E26" s="281" t="s">
        <v>178</v>
      </c>
      <c r="F26" s="279">
        <v>0.39781</v>
      </c>
      <c r="G26" s="279"/>
      <c r="H26" s="297">
        <v>45637</v>
      </c>
      <c r="I26" s="279" t="s">
        <v>453</v>
      </c>
      <c r="J26" s="278" t="s">
        <v>454</v>
      </c>
      <c r="K26" s="405">
        <v>0.36</v>
      </c>
      <c r="L26" s="405">
        <v>0.43</v>
      </c>
      <c r="M26" s="329">
        <f>L26-K26</f>
        <v>7.0000000000000007E-2</v>
      </c>
      <c r="N26" s="365">
        <v>9</v>
      </c>
      <c r="O26" s="365">
        <v>3</v>
      </c>
      <c r="P26" s="409">
        <v>45863</v>
      </c>
      <c r="Q26" s="339"/>
      <c r="R26" s="275"/>
      <c r="S26" s="274">
        <v>465608.27552000002</v>
      </c>
      <c r="T26" s="274">
        <v>271650.40336</v>
      </c>
      <c r="U26" s="275">
        <f>T26/S26</f>
        <v>0.58343121813420462</v>
      </c>
      <c r="V26" s="274">
        <v>138797.49754000001</v>
      </c>
      <c r="W26" s="275">
        <f>V26/S26</f>
        <v>0.29809929255442974</v>
      </c>
      <c r="X26" s="274">
        <v>182018.06745999999</v>
      </c>
      <c r="Y26" s="275">
        <f>X26/S26</f>
        <v>0.39092532721141782</v>
      </c>
      <c r="Z26" s="274">
        <v>138797.49754000001</v>
      </c>
      <c r="AA26" s="274">
        <f>Z26-V26</f>
        <v>0</v>
      </c>
      <c r="AB26" s="274">
        <f>T26-V26</f>
        <v>132852.90581999999</v>
      </c>
      <c r="AC26" s="275">
        <f>AB26/S26</f>
        <v>0.28533192557977494</v>
      </c>
      <c r="AD26" s="274">
        <f>271650.40336-4.65197-1874.17753-9989.58095-113062.07785</f>
        <v>146719.91506</v>
      </c>
      <c r="AE26" s="274">
        <v>0</v>
      </c>
      <c r="AF26" s="292">
        <f>AE26/S26</f>
        <v>0</v>
      </c>
      <c r="AG26" s="274">
        <v>0</v>
      </c>
      <c r="AH26" s="292">
        <f>AG26/S26</f>
        <v>0</v>
      </c>
      <c r="AI26" s="373">
        <f>U26-L26</f>
        <v>0.15343121813420463</v>
      </c>
      <c r="AJ26" s="290">
        <v>46483</v>
      </c>
      <c r="AK26" s="289" t="s">
        <v>353</v>
      </c>
      <c r="AL26" s="271" t="s">
        <v>455</v>
      </c>
      <c r="AM26" s="328">
        <v>46483</v>
      </c>
      <c r="AN26" s="269">
        <v>548015.35100000002</v>
      </c>
      <c r="AO26" s="269">
        <v>41172.175000000003</v>
      </c>
      <c r="AP26" s="269">
        <v>124634.36500000001</v>
      </c>
      <c r="AQ26" s="269">
        <v>207457.95</v>
      </c>
      <c r="AR26" s="269">
        <v>174750.86100000003</v>
      </c>
      <c r="AS26" s="269">
        <v>0</v>
      </c>
      <c r="AT26" s="269">
        <v>0</v>
      </c>
      <c r="AU26" s="268">
        <v>0</v>
      </c>
      <c r="AV26" s="267">
        <f>AQ26-AD26</f>
        <v>60738.034940000012</v>
      </c>
      <c r="AW26" s="331" t="s">
        <v>456</v>
      </c>
      <c r="AX26" s="284" t="s">
        <v>457</v>
      </c>
    </row>
    <row r="27" spans="1:50" ht="249.95" customHeight="1" x14ac:dyDescent="0.2">
      <c r="A27" s="283">
        <v>16</v>
      </c>
      <c r="B27" s="283">
        <v>12</v>
      </c>
      <c r="C27" s="302" t="s">
        <v>431</v>
      </c>
      <c r="D27" s="407" t="s">
        <v>432</v>
      </c>
      <c r="E27" s="404" t="s">
        <v>458</v>
      </c>
      <c r="F27" s="408"/>
      <c r="G27" s="408"/>
      <c r="H27" s="297">
        <v>45601</v>
      </c>
      <c r="I27" s="408" t="s">
        <v>459</v>
      </c>
      <c r="J27" s="407" t="s">
        <v>460</v>
      </c>
      <c r="K27" s="405">
        <v>0.35</v>
      </c>
      <c r="L27" s="405">
        <v>0.35</v>
      </c>
      <c r="M27" s="329">
        <f>L27-K27</f>
        <v>0</v>
      </c>
      <c r="N27" s="365">
        <v>6</v>
      </c>
      <c r="O27" s="365">
        <v>1</v>
      </c>
      <c r="P27" s="340">
        <v>45888</v>
      </c>
      <c r="Q27" s="340" t="s">
        <v>351</v>
      </c>
      <c r="R27" s="275">
        <v>0.9</v>
      </c>
      <c r="S27" s="274">
        <v>240842.30559</v>
      </c>
      <c r="T27" s="274">
        <f>314071.65871-143623.58061</f>
        <v>170448.07809999998</v>
      </c>
      <c r="U27" s="275">
        <f>T27/S27</f>
        <v>0.70771651883354647</v>
      </c>
      <c r="V27" s="274">
        <f>293663.85178-143623.58061</f>
        <v>150040.27117000002</v>
      </c>
      <c r="W27" s="275">
        <f>V27/S27</f>
        <v>0.62298137697378797</v>
      </c>
      <c r="X27" s="274">
        <v>41494.462899999999</v>
      </c>
      <c r="Y27" s="275">
        <f>X27/S27</f>
        <v>0.17228892904985912</v>
      </c>
      <c r="Z27" s="274">
        <v>150040.27116999999</v>
      </c>
      <c r="AA27" s="274">
        <f>Z27-V27</f>
        <v>0</v>
      </c>
      <c r="AB27" s="274">
        <f>T27-V27</f>
        <v>20407.806929999962</v>
      </c>
      <c r="AC27" s="275">
        <f>AB27/S27</f>
        <v>8.4735141859758514E-2</v>
      </c>
      <c r="AD27" s="274">
        <v>8007.3655699999999</v>
      </c>
      <c r="AE27" s="274">
        <v>0</v>
      </c>
      <c r="AF27" s="292">
        <f>AE27/S27</f>
        <v>0</v>
      </c>
      <c r="AG27" s="274">
        <v>0</v>
      </c>
      <c r="AH27" s="292">
        <f>AG27/S27</f>
        <v>0</v>
      </c>
      <c r="AI27" s="366">
        <f>U27-L27</f>
        <v>0.35771651883354649</v>
      </c>
      <c r="AJ27" s="290">
        <v>46367</v>
      </c>
      <c r="AK27" s="289" t="s">
        <v>353</v>
      </c>
      <c r="AL27" s="288" t="s">
        <v>461</v>
      </c>
      <c r="AM27" s="287">
        <v>46367</v>
      </c>
      <c r="AN27" s="286">
        <v>509000</v>
      </c>
      <c r="AO27" s="286">
        <v>6416.6909999999998</v>
      </c>
      <c r="AP27" s="269">
        <v>159520.78699999998</v>
      </c>
      <c r="AQ27" s="286">
        <v>93062.522000000055</v>
      </c>
      <c r="AR27" s="286">
        <v>250000</v>
      </c>
      <c r="AS27" s="286">
        <v>0</v>
      </c>
      <c r="AT27" s="286">
        <v>0</v>
      </c>
      <c r="AU27" s="285">
        <v>0</v>
      </c>
      <c r="AV27" s="267">
        <f>AQ27-AD27</f>
        <v>85055.156430000061</v>
      </c>
      <c r="AW27" s="331" t="s">
        <v>462</v>
      </c>
      <c r="AX27" s="284" t="s">
        <v>463</v>
      </c>
    </row>
    <row r="28" spans="1:50" ht="249.95" customHeight="1" x14ac:dyDescent="0.2">
      <c r="A28" s="283">
        <v>17</v>
      </c>
      <c r="B28" s="283">
        <v>13</v>
      </c>
      <c r="C28" s="288" t="s">
        <v>431</v>
      </c>
      <c r="D28" s="300" t="s">
        <v>439</v>
      </c>
      <c r="E28" s="336" t="s">
        <v>464</v>
      </c>
      <c r="F28" s="307"/>
      <c r="G28" s="307"/>
      <c r="H28" s="297">
        <v>45649</v>
      </c>
      <c r="I28" s="307" t="s">
        <v>465</v>
      </c>
      <c r="J28" s="306" t="s">
        <v>442</v>
      </c>
      <c r="K28" s="406">
        <v>0.03</v>
      </c>
      <c r="L28" s="406">
        <v>0.03</v>
      </c>
      <c r="M28" s="329">
        <f>L28-K28</f>
        <v>0</v>
      </c>
      <c r="N28" s="365">
        <v>7</v>
      </c>
      <c r="O28" s="365">
        <v>4</v>
      </c>
      <c r="P28" s="344" t="s">
        <v>443</v>
      </c>
      <c r="Q28" s="342" t="s">
        <v>351</v>
      </c>
      <c r="R28" s="343" t="s">
        <v>466</v>
      </c>
      <c r="S28" s="274">
        <v>420360.32308</v>
      </c>
      <c r="T28" s="274">
        <v>126108.09692</v>
      </c>
      <c r="U28" s="275">
        <f>T28/S28</f>
        <v>0.29999999999048432</v>
      </c>
      <c r="V28" s="274">
        <v>126108.09692</v>
      </c>
      <c r="W28" s="275">
        <f>V28/S28</f>
        <v>0.29999999999048432</v>
      </c>
      <c r="X28" s="274">
        <v>0</v>
      </c>
      <c r="Y28" s="275">
        <f>X28/S28</f>
        <v>0</v>
      </c>
      <c r="Z28" s="274">
        <v>126108.09692</v>
      </c>
      <c r="AA28" s="274">
        <f>Z28-V28</f>
        <v>0</v>
      </c>
      <c r="AB28" s="274">
        <f>T28-V28</f>
        <v>0</v>
      </c>
      <c r="AC28" s="275">
        <f>AB28/S28</f>
        <v>0</v>
      </c>
      <c r="AD28" s="274">
        <v>0</v>
      </c>
      <c r="AE28" s="274">
        <v>0</v>
      </c>
      <c r="AF28" s="292">
        <f>AE28/S28</f>
        <v>0</v>
      </c>
      <c r="AG28" s="274">
        <v>0</v>
      </c>
      <c r="AH28" s="292">
        <f>AG28/S28</f>
        <v>0</v>
      </c>
      <c r="AI28" s="366">
        <f>U28-L28</f>
        <v>0.2699999999904843</v>
      </c>
      <c r="AJ28" s="290">
        <v>46739</v>
      </c>
      <c r="AK28" s="272" t="s">
        <v>353</v>
      </c>
      <c r="AL28" s="287" t="s">
        <v>444</v>
      </c>
      <c r="AM28" s="287">
        <v>46646</v>
      </c>
      <c r="AN28" s="286">
        <v>500000</v>
      </c>
      <c r="AO28" s="303">
        <v>0</v>
      </c>
      <c r="AP28" s="299">
        <v>130036.59699999999</v>
      </c>
      <c r="AQ28" s="303">
        <v>125001.243</v>
      </c>
      <c r="AR28" s="303">
        <v>244962.16000000003</v>
      </c>
      <c r="AS28" s="303">
        <v>0</v>
      </c>
      <c r="AT28" s="303">
        <v>0</v>
      </c>
      <c r="AU28" s="285">
        <v>0</v>
      </c>
      <c r="AV28" s="267">
        <f>AQ28-AD28</f>
        <v>125001.243</v>
      </c>
      <c r="AW28" s="331" t="s">
        <v>467</v>
      </c>
      <c r="AX28" s="284" t="s">
        <v>468</v>
      </c>
    </row>
    <row r="29" spans="1:50" ht="377.25" customHeight="1" x14ac:dyDescent="0.2">
      <c r="A29" s="283">
        <v>18</v>
      </c>
      <c r="B29" s="283">
        <v>14</v>
      </c>
      <c r="C29" s="271" t="s">
        <v>431</v>
      </c>
      <c r="D29" s="337" t="s">
        <v>439</v>
      </c>
      <c r="E29" s="336" t="s">
        <v>469</v>
      </c>
      <c r="F29" s="335"/>
      <c r="G29" s="335"/>
      <c r="H29" s="280">
        <v>45756</v>
      </c>
      <c r="I29" s="335" t="s">
        <v>470</v>
      </c>
      <c r="J29" s="334" t="s">
        <v>442</v>
      </c>
      <c r="K29" s="390" t="s">
        <v>471</v>
      </c>
      <c r="L29" s="389"/>
      <c r="M29" s="389"/>
      <c r="N29" s="389"/>
      <c r="O29" s="388"/>
      <c r="P29" s="344" t="s">
        <v>443</v>
      </c>
      <c r="Q29" s="344" t="s">
        <v>472</v>
      </c>
      <c r="R29" s="343">
        <v>0</v>
      </c>
      <c r="S29" s="274">
        <v>468746.16321000003</v>
      </c>
      <c r="T29" s="274">
        <v>234373.08160999999</v>
      </c>
      <c r="U29" s="275">
        <f>T29/S29</f>
        <v>0.50000000001066669</v>
      </c>
      <c r="V29" s="274">
        <v>234373.08160999999</v>
      </c>
      <c r="W29" s="275">
        <f>V29/S29</f>
        <v>0.50000000001066669</v>
      </c>
      <c r="X29" s="274">
        <v>0</v>
      </c>
      <c r="Y29" s="275">
        <f>X29/S29</f>
        <v>0</v>
      </c>
      <c r="Z29" s="274">
        <v>234373.08160999999</v>
      </c>
      <c r="AA29" s="274">
        <f>Z29-V29</f>
        <v>0</v>
      </c>
      <c r="AB29" s="274">
        <f>T29-V29</f>
        <v>0</v>
      </c>
      <c r="AC29" s="275">
        <f>AB29/S29</f>
        <v>0</v>
      </c>
      <c r="AD29" s="274">
        <v>206066.91880000001</v>
      </c>
      <c r="AE29" s="274">
        <v>206066.91880000001</v>
      </c>
      <c r="AF29" s="292">
        <f>AE29/S29</f>
        <v>0.43961302507276473</v>
      </c>
      <c r="AG29" s="274">
        <v>0</v>
      </c>
      <c r="AH29" s="292">
        <f>AG29/S29</f>
        <v>0</v>
      </c>
      <c r="AI29" s="366">
        <f>U29-L29</f>
        <v>0.50000000001066669</v>
      </c>
      <c r="AJ29" s="290">
        <v>46739</v>
      </c>
      <c r="AK29" s="272" t="s">
        <v>353</v>
      </c>
      <c r="AL29" s="328" t="s">
        <v>473</v>
      </c>
      <c r="AM29" s="328">
        <v>46546</v>
      </c>
      <c r="AN29" s="269">
        <v>500000</v>
      </c>
      <c r="AO29" s="299">
        <v>0</v>
      </c>
      <c r="AP29" s="299">
        <v>101703.156</v>
      </c>
      <c r="AQ29" s="299">
        <v>194420.897</v>
      </c>
      <c r="AR29" s="299">
        <v>203875.94699999999</v>
      </c>
      <c r="AS29" s="299">
        <v>0</v>
      </c>
      <c r="AT29" s="299">
        <v>0</v>
      </c>
      <c r="AU29" s="268">
        <v>0</v>
      </c>
      <c r="AV29" s="267">
        <v>0</v>
      </c>
      <c r="AW29" s="331" t="s">
        <v>474</v>
      </c>
      <c r="AX29" s="284" t="s">
        <v>475</v>
      </c>
    </row>
    <row r="30" spans="1:50" ht="249.95" customHeight="1" x14ac:dyDescent="0.2">
      <c r="A30" s="283">
        <v>19</v>
      </c>
      <c r="B30" s="283">
        <v>15</v>
      </c>
      <c r="C30" s="288" t="s">
        <v>346</v>
      </c>
      <c r="D30" s="300" t="s">
        <v>382</v>
      </c>
      <c r="E30" s="336" t="s">
        <v>476</v>
      </c>
      <c r="F30" s="307">
        <v>0.64</v>
      </c>
      <c r="G30" s="307"/>
      <c r="H30" s="297">
        <v>45771</v>
      </c>
      <c r="I30" s="307" t="s">
        <v>477</v>
      </c>
      <c r="J30" s="306" t="s">
        <v>385</v>
      </c>
      <c r="K30" s="390" t="s">
        <v>478</v>
      </c>
      <c r="L30" s="389"/>
      <c r="M30" s="389"/>
      <c r="N30" s="389"/>
      <c r="O30" s="388"/>
      <c r="P30" s="338" t="s">
        <v>479</v>
      </c>
      <c r="Q30" s="342" t="s">
        <v>351</v>
      </c>
      <c r="R30" s="275">
        <v>1</v>
      </c>
      <c r="S30" s="274">
        <v>280789.07585999998</v>
      </c>
      <c r="T30" s="274">
        <v>20894.537929999999</v>
      </c>
      <c r="U30" s="275">
        <f>T30/S30</f>
        <v>7.4413642574962247E-2</v>
      </c>
      <c r="V30" s="274">
        <v>20894.537929999999</v>
      </c>
      <c r="W30" s="275">
        <f>V30/S30</f>
        <v>7.4413642574962247E-2</v>
      </c>
      <c r="X30" s="274">
        <v>0</v>
      </c>
      <c r="Y30" s="275">
        <f>X30/S30</f>
        <v>0</v>
      </c>
      <c r="Z30" s="274">
        <v>140394.53792999999</v>
      </c>
      <c r="AA30" s="274">
        <f>Z30-V30</f>
        <v>119500</v>
      </c>
      <c r="AB30" s="274">
        <f>T30-V30</f>
        <v>0</v>
      </c>
      <c r="AC30" s="275">
        <f>AB30/S30</f>
        <v>0</v>
      </c>
      <c r="AD30" s="274">
        <v>0</v>
      </c>
      <c r="AE30" s="274">
        <v>0</v>
      </c>
      <c r="AF30" s="292">
        <f>AE30/S30</f>
        <v>0</v>
      </c>
      <c r="AG30" s="274">
        <v>0</v>
      </c>
      <c r="AH30" s="292">
        <f>AG30/S30</f>
        <v>0</v>
      </c>
      <c r="AI30" s="369">
        <f>U30-L30</f>
        <v>7.4413642574962247E-2</v>
      </c>
      <c r="AJ30" s="290">
        <v>46761</v>
      </c>
      <c r="AK30" s="289" t="s">
        <v>353</v>
      </c>
      <c r="AL30" s="337" t="s">
        <v>480</v>
      </c>
      <c r="AM30" s="328">
        <v>46281</v>
      </c>
      <c r="AN30" s="303">
        <v>487161.848</v>
      </c>
      <c r="AO30" s="303">
        <v>0</v>
      </c>
      <c r="AP30" s="299">
        <v>20894.538</v>
      </c>
      <c r="AQ30" s="303">
        <v>249060.74300000002</v>
      </c>
      <c r="AR30" s="303">
        <v>217206.56700000001</v>
      </c>
      <c r="AS30" s="303">
        <v>0</v>
      </c>
      <c r="AT30" s="303">
        <v>0</v>
      </c>
      <c r="AU30" s="285">
        <v>0</v>
      </c>
      <c r="AV30" s="267">
        <f>AQ30-AD30</f>
        <v>249060.74300000002</v>
      </c>
      <c r="AW30" s="331" t="s">
        <v>481</v>
      </c>
      <c r="AX30" s="284" t="s">
        <v>482</v>
      </c>
    </row>
    <row r="31" spans="1:50" ht="328.5" customHeight="1" x14ac:dyDescent="0.2">
      <c r="A31" s="283">
        <v>20</v>
      </c>
      <c r="B31" s="283">
        <v>16</v>
      </c>
      <c r="C31" s="288" t="s">
        <v>346</v>
      </c>
      <c r="D31" s="288" t="s">
        <v>483</v>
      </c>
      <c r="E31" s="281" t="s">
        <v>484</v>
      </c>
      <c r="F31" s="296">
        <v>1.1200000000000001</v>
      </c>
      <c r="G31" s="296"/>
      <c r="H31" s="297">
        <v>45327</v>
      </c>
      <c r="I31" s="296" t="s">
        <v>485</v>
      </c>
      <c r="J31" s="295" t="s">
        <v>486</v>
      </c>
      <c r="K31" s="405">
        <v>0.92</v>
      </c>
      <c r="L31" s="405">
        <v>0.92</v>
      </c>
      <c r="M31" s="329">
        <f>L31-K31</f>
        <v>0</v>
      </c>
      <c r="N31" s="365">
        <v>5</v>
      </c>
      <c r="O31" s="365">
        <v>7</v>
      </c>
      <c r="P31" s="340">
        <v>45051</v>
      </c>
      <c r="Q31" s="340" t="s">
        <v>351</v>
      </c>
      <c r="R31" s="275">
        <v>1</v>
      </c>
      <c r="S31" s="274">
        <v>291211.20624999999</v>
      </c>
      <c r="T31" s="274">
        <v>208176.26191999999</v>
      </c>
      <c r="U31" s="275">
        <f>T31/S31</f>
        <v>0.71486349924763581</v>
      </c>
      <c r="V31" s="274">
        <v>145605.60313</v>
      </c>
      <c r="W31" s="275">
        <f>V31/S31</f>
        <v>0.50000000001716971</v>
      </c>
      <c r="X31" s="274">
        <v>136425.69928999999</v>
      </c>
      <c r="Y31" s="275">
        <f>X31/S31</f>
        <v>0.46847681806887881</v>
      </c>
      <c r="Z31" s="274">
        <v>145605.60313</v>
      </c>
      <c r="AA31" s="274">
        <f>Z31-V31</f>
        <v>0</v>
      </c>
      <c r="AB31" s="274">
        <f>T31-V31</f>
        <v>62570.658789999987</v>
      </c>
      <c r="AC31" s="275">
        <f>AB31/S31</f>
        <v>0.21486349923046613</v>
      </c>
      <c r="AD31" s="274">
        <f>10274.60073+754.90652</f>
        <v>11029.507250000001</v>
      </c>
      <c r="AE31" s="274">
        <v>0</v>
      </c>
      <c r="AF31" s="292">
        <f>AE31/S31</f>
        <v>0</v>
      </c>
      <c r="AG31" s="274">
        <v>0</v>
      </c>
      <c r="AH31" s="292">
        <f>AG31/S31</f>
        <v>0</v>
      </c>
      <c r="AI31" s="369">
        <f>U31-L31</f>
        <v>-0.20513650075236423</v>
      </c>
      <c r="AJ31" s="290">
        <v>46079</v>
      </c>
      <c r="AK31" s="289" t="s">
        <v>353</v>
      </c>
      <c r="AL31" s="271" t="s">
        <v>487</v>
      </c>
      <c r="AM31" s="328">
        <v>46568</v>
      </c>
      <c r="AN31" s="286">
        <v>374227.429</v>
      </c>
      <c r="AO31" s="286">
        <v>144252.163</v>
      </c>
      <c r="AP31" s="269">
        <v>111367.69500000001</v>
      </c>
      <c r="AQ31" s="286">
        <v>108607.571</v>
      </c>
      <c r="AR31" s="286">
        <v>10000</v>
      </c>
      <c r="AS31" s="286">
        <v>0</v>
      </c>
      <c r="AT31" s="286">
        <v>0</v>
      </c>
      <c r="AU31" s="285">
        <v>0</v>
      </c>
      <c r="AV31" s="267">
        <f>AQ31-AD31</f>
        <v>97578.063750000001</v>
      </c>
      <c r="AW31" s="331" t="s">
        <v>488</v>
      </c>
      <c r="AX31" s="284" t="s">
        <v>489</v>
      </c>
    </row>
    <row r="32" spans="1:50" ht="249.95" customHeight="1" x14ac:dyDescent="0.2">
      <c r="A32" s="283">
        <v>21</v>
      </c>
      <c r="B32" s="283">
        <v>17</v>
      </c>
      <c r="C32" s="288" t="s">
        <v>346</v>
      </c>
      <c r="D32" s="300" t="s">
        <v>367</v>
      </c>
      <c r="E32" s="308" t="s">
        <v>490</v>
      </c>
      <c r="F32" s="307">
        <v>0.23</v>
      </c>
      <c r="G32" s="307"/>
      <c r="H32" s="297">
        <v>45904</v>
      </c>
      <c r="I32" s="307" t="s">
        <v>491</v>
      </c>
      <c r="J32" s="306" t="s">
        <v>454</v>
      </c>
      <c r="K32" s="390" t="s">
        <v>418</v>
      </c>
      <c r="L32" s="389"/>
      <c r="M32" s="389"/>
      <c r="N32" s="389"/>
      <c r="O32" s="388"/>
      <c r="P32" s="341">
        <v>46291</v>
      </c>
      <c r="Q32" s="328"/>
      <c r="R32" s="275"/>
      <c r="S32" s="274">
        <v>112631.40256</v>
      </c>
      <c r="T32" s="274">
        <v>33789.420769999997</v>
      </c>
      <c r="U32" s="275">
        <f>T32/S32</f>
        <v>0.30000000001775701</v>
      </c>
      <c r="V32" s="274">
        <v>33789.420769999997</v>
      </c>
      <c r="W32" s="275">
        <f>V32/S32</f>
        <v>0.30000000001775701</v>
      </c>
      <c r="X32" s="274">
        <v>0</v>
      </c>
      <c r="Y32" s="275">
        <f>X32/S32</f>
        <v>0</v>
      </c>
      <c r="Z32" s="274">
        <v>33789.420769999997</v>
      </c>
      <c r="AA32" s="274">
        <f>Z32-V32</f>
        <v>0</v>
      </c>
      <c r="AB32" s="274">
        <f>T32-V32</f>
        <v>0</v>
      </c>
      <c r="AC32" s="275">
        <f>AB32/S32</f>
        <v>0</v>
      </c>
      <c r="AD32" s="274">
        <f>3607.43118+25940.08553</f>
        <v>29547.51671</v>
      </c>
      <c r="AE32" s="274">
        <v>0</v>
      </c>
      <c r="AF32" s="292">
        <f>AE32/S32</f>
        <v>0</v>
      </c>
      <c r="AG32" s="274">
        <v>0</v>
      </c>
      <c r="AH32" s="292">
        <f>AG32/S32</f>
        <v>0</v>
      </c>
      <c r="AI32" s="366">
        <f>U32-L32</f>
        <v>0.30000000001775701</v>
      </c>
      <c r="AJ32" s="290">
        <v>46730</v>
      </c>
      <c r="AK32" s="289" t="s">
        <v>353</v>
      </c>
      <c r="AL32" s="328" t="s">
        <v>492</v>
      </c>
      <c r="AM32" s="327">
        <v>46744</v>
      </c>
      <c r="AN32" s="299">
        <v>130000</v>
      </c>
      <c r="AO32" s="299">
        <v>0</v>
      </c>
      <c r="AP32" s="299">
        <v>4241.9040000000005</v>
      </c>
      <c r="AQ32" s="299">
        <v>53758.095999999998</v>
      </c>
      <c r="AR32" s="299">
        <v>72000</v>
      </c>
      <c r="AS32" s="303">
        <v>0</v>
      </c>
      <c r="AT32" s="303">
        <v>0</v>
      </c>
      <c r="AU32" s="285">
        <v>0</v>
      </c>
      <c r="AV32" s="267">
        <f>AQ32-AD32</f>
        <v>24210.579289999998</v>
      </c>
      <c r="AW32" s="331" t="s">
        <v>493</v>
      </c>
      <c r="AX32" s="284" t="s">
        <v>494</v>
      </c>
    </row>
    <row r="33" spans="1:50" ht="339.75" customHeight="1" x14ac:dyDescent="0.2">
      <c r="A33" s="283">
        <v>22</v>
      </c>
      <c r="B33" s="283">
        <v>18</v>
      </c>
      <c r="C33" s="387" t="s">
        <v>431</v>
      </c>
      <c r="D33" s="392" t="s">
        <v>495</v>
      </c>
      <c r="E33" s="404" t="s">
        <v>496</v>
      </c>
      <c r="F33" s="393"/>
      <c r="G33" s="393"/>
      <c r="H33" s="297"/>
      <c r="I33" s="393"/>
      <c r="J33" s="403" t="s">
        <v>497</v>
      </c>
      <c r="K33" s="330"/>
      <c r="L33" s="330"/>
      <c r="M33" s="329"/>
      <c r="N33" s="365"/>
      <c r="O33" s="365"/>
      <c r="P33" s="340">
        <v>45030</v>
      </c>
      <c r="Q33" s="340" t="s">
        <v>351</v>
      </c>
      <c r="R33" s="275">
        <v>1</v>
      </c>
      <c r="S33" s="274"/>
      <c r="T33" s="274"/>
      <c r="U33" s="275"/>
      <c r="V33" s="274"/>
      <c r="W33" s="275"/>
      <c r="X33" s="274"/>
      <c r="Y33" s="275"/>
      <c r="Z33" s="274"/>
      <c r="AA33" s="274"/>
      <c r="AB33" s="274"/>
      <c r="AC33" s="275"/>
      <c r="AD33" s="274"/>
      <c r="AE33" s="274"/>
      <c r="AF33" s="292"/>
      <c r="AG33" s="274"/>
      <c r="AH33" s="292"/>
      <c r="AI33" s="292"/>
      <c r="AJ33" s="273"/>
      <c r="AK33" s="272" t="s">
        <v>353</v>
      </c>
      <c r="AL33" s="271" t="s">
        <v>498</v>
      </c>
      <c r="AM33" s="328">
        <v>46381</v>
      </c>
      <c r="AN33" s="269">
        <v>108042.304</v>
      </c>
      <c r="AO33" s="269">
        <v>25797.342000000001</v>
      </c>
      <c r="AP33" s="269">
        <v>0</v>
      </c>
      <c r="AQ33" s="269">
        <v>82244.962</v>
      </c>
      <c r="AR33" s="269">
        <v>0</v>
      </c>
      <c r="AS33" s="269">
        <v>0</v>
      </c>
      <c r="AT33" s="269">
        <v>0</v>
      </c>
      <c r="AU33" s="268">
        <v>0</v>
      </c>
      <c r="AV33" s="267">
        <f>AQ33-AD33</f>
        <v>82244.962</v>
      </c>
      <c r="AW33" s="284"/>
      <c r="AX33" s="284"/>
    </row>
    <row r="34" spans="1:50" s="255" customFormat="1" ht="90" customHeight="1" x14ac:dyDescent="0.75">
      <c r="A34" s="364" t="s">
        <v>499</v>
      </c>
      <c r="B34" s="363"/>
      <c r="C34" s="363"/>
      <c r="D34" s="363"/>
      <c r="E34" s="363"/>
      <c r="F34" s="363"/>
      <c r="G34" s="363"/>
      <c r="H34" s="363"/>
      <c r="I34" s="363"/>
      <c r="J34" s="363"/>
      <c r="K34" s="363"/>
      <c r="L34" s="363"/>
      <c r="M34" s="363"/>
      <c r="N34" s="363"/>
      <c r="O34" s="363"/>
      <c r="P34" s="363"/>
      <c r="Q34" s="363"/>
      <c r="R34" s="363"/>
      <c r="S34" s="363"/>
      <c r="T34" s="363"/>
      <c r="U34" s="363"/>
      <c r="V34" s="363"/>
      <c r="W34" s="363"/>
      <c r="X34" s="363"/>
      <c r="Y34" s="363"/>
      <c r="Z34" s="363"/>
      <c r="AA34" s="363"/>
      <c r="AB34" s="363"/>
      <c r="AC34" s="363"/>
      <c r="AD34" s="363"/>
      <c r="AE34" s="363"/>
      <c r="AF34" s="363"/>
      <c r="AG34" s="363"/>
      <c r="AH34" s="363"/>
      <c r="AI34" s="363"/>
      <c r="AJ34" s="363"/>
      <c r="AK34" s="363"/>
      <c r="AL34" s="363"/>
      <c r="AM34" s="363"/>
      <c r="AN34" s="363"/>
      <c r="AO34" s="363"/>
      <c r="AP34" s="363"/>
      <c r="AQ34" s="363"/>
      <c r="AR34" s="363"/>
      <c r="AS34" s="363"/>
      <c r="AT34" s="363"/>
      <c r="AU34" s="363"/>
      <c r="AV34" s="362"/>
      <c r="AW34" s="402"/>
      <c r="AX34" s="402"/>
    </row>
    <row r="35" spans="1:50" s="348" customFormat="1" ht="170.1" customHeight="1" x14ac:dyDescent="0.85">
      <c r="A35" s="323"/>
      <c r="B35" s="323"/>
      <c r="C35" s="360"/>
      <c r="D35" s="359"/>
      <c r="E35" s="320"/>
      <c r="F35" s="356"/>
      <c r="G35" s="356"/>
      <c r="H35" s="356"/>
      <c r="I35" s="356"/>
      <c r="J35" s="315"/>
      <c r="K35" s="358"/>
      <c r="L35" s="358"/>
      <c r="M35" s="357"/>
      <c r="N35" s="357"/>
      <c r="O35" s="357"/>
      <c r="P35" s="356"/>
      <c r="Q35" s="356"/>
      <c r="R35" s="356"/>
      <c r="S35" s="351">
        <f>S36+S42</f>
        <v>36410822.615470007</v>
      </c>
      <c r="T35" s="351">
        <f>T36+T42</f>
        <v>17219205.78345</v>
      </c>
      <c r="U35" s="354">
        <f>T35/S35</f>
        <v>0.47291449482753539</v>
      </c>
      <c r="V35" s="351">
        <f>V36+V42</f>
        <v>15253767.667070001</v>
      </c>
      <c r="W35" s="354">
        <f>V35/S35</f>
        <v>0.4189349916139789</v>
      </c>
      <c r="X35" s="351">
        <f>X36+X42</f>
        <v>3611595.6208699998</v>
      </c>
      <c r="Y35" s="354">
        <f>X35/S35</f>
        <v>9.919016823683427E-2</v>
      </c>
      <c r="Z35" s="351"/>
      <c r="AA35" s="351"/>
      <c r="AB35" s="351"/>
      <c r="AC35" s="354"/>
      <c r="AD35" s="351">
        <f>AD36+AD42</f>
        <v>468056.3914599999</v>
      </c>
      <c r="AE35" s="351"/>
      <c r="AF35" s="354"/>
      <c r="AG35" s="351"/>
      <c r="AH35" s="354"/>
      <c r="AI35" s="354"/>
      <c r="AJ35" s="354"/>
      <c r="AK35" s="353"/>
      <c r="AL35" s="352"/>
      <c r="AM35" s="352"/>
      <c r="AN35" s="351">
        <f>AN36+AN42</f>
        <v>56220911.463310003</v>
      </c>
      <c r="AO35" s="351">
        <f>AO36+AO42</f>
        <v>10299004.584000001</v>
      </c>
      <c r="AP35" s="351">
        <f>AP36+AP42</f>
        <v>10982399.398000002</v>
      </c>
      <c r="AQ35" s="351">
        <f>AQ36+AQ42</f>
        <v>7079127.199000001</v>
      </c>
      <c r="AR35" s="351">
        <f>AR36+AR42</f>
        <v>10690195.376999998</v>
      </c>
      <c r="AS35" s="351">
        <f>AS36+AS42</f>
        <v>12252769.227000002</v>
      </c>
      <c r="AT35" s="351">
        <f>AT36+AT42</f>
        <v>2965778.125</v>
      </c>
      <c r="AU35" s="351">
        <f>AU36+AU42</f>
        <v>0</v>
      </c>
      <c r="AV35" s="350">
        <f>AV36+AV42</f>
        <v>6611070.8075400004</v>
      </c>
      <c r="AW35" s="349"/>
      <c r="AX35" s="349"/>
    </row>
    <row r="36" spans="1:50" ht="140.1" customHeight="1" x14ac:dyDescent="0.5">
      <c r="A36" s="323"/>
      <c r="B36" s="323"/>
      <c r="C36" s="322"/>
      <c r="D36" s="321"/>
      <c r="E36" s="320"/>
      <c r="F36" s="319"/>
      <c r="G36" s="319"/>
      <c r="H36" s="319"/>
      <c r="I36" s="319"/>
      <c r="J36" s="315"/>
      <c r="K36" s="358"/>
      <c r="L36" s="358"/>
      <c r="M36" s="357"/>
      <c r="N36" s="357"/>
      <c r="O36" s="357"/>
      <c r="P36" s="315"/>
      <c r="Q36" s="315"/>
      <c r="R36" s="315"/>
      <c r="S36" s="269">
        <f>SUM(S37:S40)</f>
        <v>25729380.412070002</v>
      </c>
      <c r="T36" s="269">
        <f>SUM(T37:T40)</f>
        <v>14035159.726360001</v>
      </c>
      <c r="U36" s="316">
        <f>T36/S36</f>
        <v>0.54549155485205214</v>
      </c>
      <c r="V36" s="269">
        <f>SUM(V37:V40)</f>
        <v>12299034.066360001</v>
      </c>
      <c r="W36" s="316">
        <f>V36/S36</f>
        <v>0.47801516668432315</v>
      </c>
      <c r="X36" s="269">
        <f>SUM(X37:X40)</f>
        <v>3268114.0329999998</v>
      </c>
      <c r="Y36" s="316">
        <f>X36/S36</f>
        <v>0.12701876145711161</v>
      </c>
      <c r="Z36" s="269">
        <f>SUM(Z37:Z40)</f>
        <v>12144277.9736</v>
      </c>
      <c r="AA36" s="269">
        <f>SUM(AA37:AA40)</f>
        <v>-154756.09275999991</v>
      </c>
      <c r="AB36" s="269">
        <f>SUM(AB37:AB40)</f>
        <v>1736125.6600000001</v>
      </c>
      <c r="AC36" s="316">
        <f>AB36/S36</f>
        <v>6.7476388167729065E-2</v>
      </c>
      <c r="AD36" s="269">
        <f>SUM(AD37:AD40)</f>
        <v>18217.346109999999</v>
      </c>
      <c r="AE36" s="269">
        <f>SUM(AE37:AE40)</f>
        <v>0</v>
      </c>
      <c r="AF36" s="316">
        <f>AE36/S36</f>
        <v>0</v>
      </c>
      <c r="AG36" s="269">
        <f>SUM(AG37:AG40)</f>
        <v>0</v>
      </c>
      <c r="AH36" s="316">
        <f>AG36/S36</f>
        <v>0</v>
      </c>
      <c r="AI36" s="316"/>
      <c r="AJ36" s="316"/>
      <c r="AK36" s="314"/>
      <c r="AL36" s="313"/>
      <c r="AM36" s="313"/>
      <c r="AN36" s="269">
        <f>SUM(AN37:AN40)</f>
        <v>37946617.713310003</v>
      </c>
      <c r="AO36" s="269">
        <f>SUM(AO37:AO40)</f>
        <v>7904119.625</v>
      </c>
      <c r="AP36" s="269">
        <f>SUM(AP37:AP40)</f>
        <v>8011775.4820000008</v>
      </c>
      <c r="AQ36" s="269">
        <f>SUM(AQ37:AQ40)</f>
        <v>3531918.8100000005</v>
      </c>
      <c r="AR36" s="269">
        <f>SUM(AR37:AR40)</f>
        <v>6540587.2389999982</v>
      </c>
      <c r="AS36" s="269">
        <f>SUM(AS37:AS40)</f>
        <v>7107430.7690000031</v>
      </c>
      <c r="AT36" s="269">
        <f>SUM(AT37:AT40)</f>
        <v>2898778.125</v>
      </c>
      <c r="AU36" s="269">
        <f>SUM(AU37:AU40)</f>
        <v>0</v>
      </c>
      <c r="AV36" s="401">
        <f>SUM(AV37:AV40)</f>
        <v>3513701.4638900002</v>
      </c>
      <c r="AW36" s="400"/>
      <c r="AX36" s="400"/>
    </row>
    <row r="37" spans="1:50" ht="249.95" customHeight="1" x14ac:dyDescent="0.2">
      <c r="A37" s="399">
        <v>23</v>
      </c>
      <c r="B37" s="399">
        <v>1</v>
      </c>
      <c r="C37" s="271" t="s">
        <v>346</v>
      </c>
      <c r="D37" s="271" t="s">
        <v>500</v>
      </c>
      <c r="E37" s="398" t="s">
        <v>501</v>
      </c>
      <c r="F37" s="394">
        <v>19.251799999999999</v>
      </c>
      <c r="G37" s="393">
        <v>367.94499999999999</v>
      </c>
      <c r="H37" s="280">
        <v>44762</v>
      </c>
      <c r="I37" s="393" t="s">
        <v>502</v>
      </c>
      <c r="J37" s="392" t="s">
        <v>503</v>
      </c>
      <c r="K37" s="294">
        <v>0.47</v>
      </c>
      <c r="L37" s="294">
        <v>0.47</v>
      </c>
      <c r="M37" s="329">
        <f>L37-K37</f>
        <v>0</v>
      </c>
      <c r="N37" s="365">
        <v>113</v>
      </c>
      <c r="O37" s="365">
        <v>5</v>
      </c>
      <c r="P37" s="342" t="s">
        <v>504</v>
      </c>
      <c r="Q37" s="342" t="s">
        <v>351</v>
      </c>
      <c r="R37" s="275">
        <v>1</v>
      </c>
      <c r="S37" s="274">
        <v>19683923.613000002</v>
      </c>
      <c r="T37" s="274">
        <v>12893597.401000001</v>
      </c>
      <c r="U37" s="275">
        <f>T37/S37</f>
        <v>0.65503187547855479</v>
      </c>
      <c r="V37" s="274">
        <v>11157471.741</v>
      </c>
      <c r="W37" s="275">
        <f>V37/S37</f>
        <v>0.56683169272365941</v>
      </c>
      <c r="X37" s="274">
        <v>3268114.0329999998</v>
      </c>
      <c r="Y37" s="275">
        <f>X37/S37</f>
        <v>0.16602960351063417</v>
      </c>
      <c r="Z37" s="274">
        <v>10641056.310000001</v>
      </c>
      <c r="AA37" s="274">
        <f>Z37-V37</f>
        <v>-516415.43099999987</v>
      </c>
      <c r="AB37" s="274">
        <f>T37-V37</f>
        <v>1736125.6600000001</v>
      </c>
      <c r="AC37" s="275">
        <f>AB37/S37</f>
        <v>8.8200182754895357E-2</v>
      </c>
      <c r="AD37" s="274">
        <v>0</v>
      </c>
      <c r="AE37" s="274">
        <v>0</v>
      </c>
      <c r="AF37" s="275">
        <f>AE37/S37</f>
        <v>0</v>
      </c>
      <c r="AG37" s="274">
        <v>0</v>
      </c>
      <c r="AH37" s="275">
        <f>AG37/U37</f>
        <v>0</v>
      </c>
      <c r="AI37" s="373">
        <f>U37-L37</f>
        <v>0.18503187547855482</v>
      </c>
      <c r="AJ37" s="392" t="s">
        <v>505</v>
      </c>
      <c r="AK37" s="272" t="s">
        <v>353</v>
      </c>
      <c r="AL37" s="271" t="s">
        <v>506</v>
      </c>
      <c r="AM37" s="397">
        <v>45049</v>
      </c>
      <c r="AN37" s="269">
        <v>28455109.32</v>
      </c>
      <c r="AO37" s="269">
        <v>7813385.0159999998</v>
      </c>
      <c r="AP37" s="269">
        <v>7902850.6440000003</v>
      </c>
      <c r="AQ37" s="269">
        <v>905382.73800000013</v>
      </c>
      <c r="AR37" s="269">
        <v>1827282.0279999974</v>
      </c>
      <c r="AS37" s="269">
        <v>7107430.7690000031</v>
      </c>
      <c r="AT37" s="269">
        <v>2898778.125</v>
      </c>
      <c r="AU37" s="268">
        <v>0</v>
      </c>
      <c r="AV37" s="267">
        <f>AQ37-AD37</f>
        <v>905382.73800000013</v>
      </c>
      <c r="AW37" s="376" t="s">
        <v>507</v>
      </c>
      <c r="AX37" s="266" t="s">
        <v>508</v>
      </c>
    </row>
    <row r="38" spans="1:50" ht="249.95" customHeight="1" x14ac:dyDescent="0.2">
      <c r="A38" s="396"/>
      <c r="B38" s="396"/>
      <c r="C38" s="271"/>
      <c r="D38" s="271"/>
      <c r="E38" s="395"/>
      <c r="F38" s="394"/>
      <c r="G38" s="393"/>
      <c r="H38" s="280">
        <v>45749</v>
      </c>
      <c r="I38" s="393"/>
      <c r="J38" s="392" t="s">
        <v>509</v>
      </c>
      <c r="K38" s="294"/>
      <c r="L38" s="294"/>
      <c r="M38" s="329"/>
      <c r="N38" s="365"/>
      <c r="O38" s="365"/>
      <c r="P38" s="337"/>
      <c r="Q38" s="337"/>
      <c r="R38" s="275"/>
      <c r="S38" s="274">
        <v>2246689.9592200001</v>
      </c>
      <c r="T38" s="274">
        <v>1123344.9792500001</v>
      </c>
      <c r="U38" s="275">
        <f>T38/S38</f>
        <v>0.49999999983976429</v>
      </c>
      <c r="V38" s="274">
        <v>1123344.9792500001</v>
      </c>
      <c r="W38" s="275">
        <f>V38/S38</f>
        <v>0.49999999983976429</v>
      </c>
      <c r="X38" s="274">
        <v>0</v>
      </c>
      <c r="Y38" s="275">
        <f>X38/S38</f>
        <v>0</v>
      </c>
      <c r="Z38" s="274">
        <v>1123344.97961</v>
      </c>
      <c r="AA38" s="274">
        <f>Z38-V38</f>
        <v>3.5999994724988937E-4</v>
      </c>
      <c r="AB38" s="274">
        <f>T38-V38</f>
        <v>0</v>
      </c>
      <c r="AC38" s="275">
        <f>AB38/S38</f>
        <v>0</v>
      </c>
      <c r="AD38" s="274">
        <v>0</v>
      </c>
      <c r="AE38" s="274">
        <v>0</v>
      </c>
      <c r="AF38" s="275">
        <v>0</v>
      </c>
      <c r="AG38" s="274">
        <v>0</v>
      </c>
      <c r="AH38" s="275">
        <f>AG38/U38</f>
        <v>0</v>
      </c>
      <c r="AI38" s="366">
        <f>U38-L38</f>
        <v>0.49999999983976429</v>
      </c>
      <c r="AJ38" s="392">
        <v>46380</v>
      </c>
      <c r="AK38" s="272"/>
      <c r="AL38" s="271"/>
      <c r="AM38" s="391"/>
      <c r="AN38" s="269"/>
      <c r="AO38" s="269"/>
      <c r="AP38" s="269"/>
      <c r="AQ38" s="269"/>
      <c r="AR38" s="269"/>
      <c r="AS38" s="269"/>
      <c r="AT38" s="269"/>
      <c r="AU38" s="268"/>
      <c r="AV38" s="267">
        <f>AQ38-AD38</f>
        <v>0</v>
      </c>
      <c r="AW38" s="376"/>
      <c r="AX38" s="266" t="s">
        <v>510</v>
      </c>
    </row>
    <row r="39" spans="1:50" ht="249.95" customHeight="1" x14ac:dyDescent="0.2">
      <c r="A39" s="283">
        <v>24</v>
      </c>
      <c r="B39" s="283">
        <v>2</v>
      </c>
      <c r="C39" s="302" t="s">
        <v>511</v>
      </c>
      <c r="D39" s="288" t="s">
        <v>512</v>
      </c>
      <c r="E39" s="386" t="s">
        <v>513</v>
      </c>
      <c r="F39" s="296">
        <v>0.66700000000000004</v>
      </c>
      <c r="G39" s="296"/>
      <c r="H39" s="297">
        <v>45866</v>
      </c>
      <c r="I39" s="296" t="s">
        <v>514</v>
      </c>
      <c r="J39" s="295" t="s">
        <v>515</v>
      </c>
      <c r="K39" s="390" t="s">
        <v>418</v>
      </c>
      <c r="L39" s="389"/>
      <c r="M39" s="389"/>
      <c r="N39" s="389"/>
      <c r="O39" s="388"/>
      <c r="P39" s="338" t="s">
        <v>516</v>
      </c>
      <c r="Q39" s="337"/>
      <c r="R39" s="275"/>
      <c r="S39" s="274">
        <v>3798766.8398500001</v>
      </c>
      <c r="T39" s="274">
        <v>18217.346109999999</v>
      </c>
      <c r="U39" s="275">
        <f>T39/S39</f>
        <v>4.7955946963881939E-3</v>
      </c>
      <c r="V39" s="274">
        <v>18217.346109999999</v>
      </c>
      <c r="W39" s="275">
        <f>V39/S39</f>
        <v>4.7955946963881939E-3</v>
      </c>
      <c r="X39" s="274">
        <v>0</v>
      </c>
      <c r="Y39" s="275">
        <f>X39/S39</f>
        <v>0</v>
      </c>
      <c r="Z39" s="274">
        <v>379876.68398999999</v>
      </c>
      <c r="AA39" s="274">
        <f>Z39-V39</f>
        <v>361659.33788000001</v>
      </c>
      <c r="AB39" s="274">
        <f>T39-V39</f>
        <v>0</v>
      </c>
      <c r="AC39" s="275">
        <f>AB39/S39</f>
        <v>0</v>
      </c>
      <c r="AD39" s="274">
        <v>18217.346109999999</v>
      </c>
      <c r="AE39" s="274">
        <v>0</v>
      </c>
      <c r="AF39" s="292">
        <f>AE39/S39</f>
        <v>0</v>
      </c>
      <c r="AG39" s="274">
        <v>0</v>
      </c>
      <c r="AH39" s="292">
        <f>AG39/S39</f>
        <v>0</v>
      </c>
      <c r="AI39" s="369">
        <f>U39-L39</f>
        <v>4.7955946963881939E-3</v>
      </c>
      <c r="AJ39" s="273">
        <v>47452</v>
      </c>
      <c r="AK39" s="289" t="s">
        <v>371</v>
      </c>
      <c r="AL39" s="271" t="s">
        <v>517</v>
      </c>
      <c r="AM39" s="328">
        <v>46721</v>
      </c>
      <c r="AN39" s="269">
        <v>5232911.8650000002</v>
      </c>
      <c r="AO39" s="269">
        <v>90734.608999999997</v>
      </c>
      <c r="AP39" s="269">
        <v>0</v>
      </c>
      <c r="AQ39" s="269">
        <v>1480550.656</v>
      </c>
      <c r="AR39" s="269">
        <v>3661626.6</v>
      </c>
      <c r="AS39" s="269">
        <v>0</v>
      </c>
      <c r="AT39" s="269">
        <v>0</v>
      </c>
      <c r="AU39" s="268">
        <v>0</v>
      </c>
      <c r="AV39" s="267">
        <f>AQ39-AD39</f>
        <v>1462333.3098899999</v>
      </c>
      <c r="AW39" s="331" t="s">
        <v>518</v>
      </c>
      <c r="AX39" s="284" t="s">
        <v>519</v>
      </c>
    </row>
    <row r="40" spans="1:50" ht="362.25" customHeight="1" x14ac:dyDescent="0.2">
      <c r="A40" s="283">
        <v>25</v>
      </c>
      <c r="B40" s="283">
        <v>3</v>
      </c>
      <c r="C40" s="387" t="s">
        <v>520</v>
      </c>
      <c r="D40" s="271" t="s">
        <v>521</v>
      </c>
      <c r="E40" s="386" t="s">
        <v>522</v>
      </c>
      <c r="F40" s="279">
        <v>1.2</v>
      </c>
      <c r="G40" s="279"/>
      <c r="H40" s="280"/>
      <c r="I40" s="279"/>
      <c r="J40" s="375" t="s">
        <v>523</v>
      </c>
      <c r="K40" s="294">
        <v>0.3</v>
      </c>
      <c r="L40" s="294">
        <v>0.3</v>
      </c>
      <c r="M40" s="329">
        <f>L40-K40</f>
        <v>0</v>
      </c>
      <c r="N40" s="365"/>
      <c r="O40" s="365"/>
      <c r="P40" s="384">
        <v>44511</v>
      </c>
      <c r="Q40" s="310"/>
      <c r="R40" s="275"/>
      <c r="S40" s="274"/>
      <c r="T40" s="274"/>
      <c r="U40" s="292"/>
      <c r="V40" s="291"/>
      <c r="W40" s="292"/>
      <c r="X40" s="291"/>
      <c r="Y40" s="292"/>
      <c r="Z40" s="291"/>
      <c r="AA40" s="291"/>
      <c r="AB40" s="274"/>
      <c r="AC40" s="275"/>
      <c r="AD40" s="275"/>
      <c r="AE40" s="291"/>
      <c r="AF40" s="291"/>
      <c r="AG40" s="291"/>
      <c r="AH40" s="291"/>
      <c r="AI40" s="292"/>
      <c r="AJ40" s="278"/>
      <c r="AK40" s="272" t="s">
        <v>524</v>
      </c>
      <c r="AL40" s="328" t="s">
        <v>525</v>
      </c>
      <c r="AM40" s="328">
        <v>46386</v>
      </c>
      <c r="AN40" s="299">
        <v>4258596.52831</v>
      </c>
      <c r="AO40" s="269" t="s">
        <v>526</v>
      </c>
      <c r="AP40" s="269">
        <v>108924.838</v>
      </c>
      <c r="AQ40" s="269">
        <v>1145985.416</v>
      </c>
      <c r="AR40" s="269">
        <v>1051678.611</v>
      </c>
      <c r="AS40" s="269">
        <v>0</v>
      </c>
      <c r="AT40" s="269">
        <v>0</v>
      </c>
      <c r="AU40" s="268">
        <v>0</v>
      </c>
      <c r="AV40" s="267">
        <f>AQ40-AD40</f>
        <v>1145985.416</v>
      </c>
      <c r="AW40" s="331" t="s">
        <v>527</v>
      </c>
      <c r="AX40" s="284" t="s">
        <v>528</v>
      </c>
    </row>
    <row r="41" spans="1:50" ht="90" customHeight="1" x14ac:dyDescent="0.2">
      <c r="A41" s="364">
        <v>2027</v>
      </c>
      <c r="B41" s="363"/>
      <c r="C41" s="363"/>
      <c r="D41" s="363"/>
      <c r="E41" s="363"/>
      <c r="F41" s="363"/>
      <c r="G41" s="363"/>
      <c r="H41" s="363"/>
      <c r="I41" s="363"/>
      <c r="J41" s="363"/>
      <c r="K41" s="363"/>
      <c r="L41" s="363"/>
      <c r="M41" s="363"/>
      <c r="N41" s="363"/>
      <c r="O41" s="363"/>
      <c r="P41" s="363"/>
      <c r="Q41" s="363"/>
      <c r="R41" s="363"/>
      <c r="S41" s="363"/>
      <c r="T41" s="363"/>
      <c r="U41" s="363"/>
      <c r="V41" s="363"/>
      <c r="W41" s="363"/>
      <c r="X41" s="363"/>
      <c r="Y41" s="363"/>
      <c r="Z41" s="363"/>
      <c r="AA41" s="363"/>
      <c r="AB41" s="363"/>
      <c r="AC41" s="363"/>
      <c r="AD41" s="363"/>
      <c r="AE41" s="363"/>
      <c r="AF41" s="363"/>
      <c r="AG41" s="363"/>
      <c r="AH41" s="363"/>
      <c r="AI41" s="363"/>
      <c r="AJ41" s="363"/>
      <c r="AK41" s="363"/>
      <c r="AL41" s="363"/>
      <c r="AM41" s="363"/>
      <c r="AN41" s="363"/>
      <c r="AO41" s="363"/>
      <c r="AP41" s="363"/>
      <c r="AQ41" s="363"/>
      <c r="AR41" s="363"/>
      <c r="AS41" s="363"/>
      <c r="AT41" s="363"/>
      <c r="AU41" s="363"/>
      <c r="AV41" s="362"/>
      <c r="AW41" s="284"/>
      <c r="AX41" s="284"/>
    </row>
    <row r="42" spans="1:50" s="348" customFormat="1" ht="170.1" customHeight="1" x14ac:dyDescent="0.85">
      <c r="A42" s="323"/>
      <c r="B42" s="323"/>
      <c r="C42" s="360"/>
      <c r="D42" s="359"/>
      <c r="E42" s="320"/>
      <c r="F42" s="356"/>
      <c r="G42" s="356"/>
      <c r="H42" s="356"/>
      <c r="I42" s="356"/>
      <c r="J42" s="315"/>
      <c r="K42" s="358"/>
      <c r="L42" s="358"/>
      <c r="M42" s="357"/>
      <c r="N42" s="357"/>
      <c r="O42" s="357"/>
      <c r="P42" s="356"/>
      <c r="Q42" s="356"/>
      <c r="R42" s="356"/>
      <c r="S42" s="351">
        <f>SUM(S43:S56)</f>
        <v>10681442.203400001</v>
      </c>
      <c r="T42" s="351">
        <f>SUM(T43:T56)</f>
        <v>3184046.0570899998</v>
      </c>
      <c r="U42" s="354">
        <f>T42/S42</f>
        <v>0.29809139968725279</v>
      </c>
      <c r="V42" s="351">
        <f>SUM(V43:V56)</f>
        <v>2954733.6007099999</v>
      </c>
      <c r="W42" s="354">
        <f>V42/S42</f>
        <v>0.27662309493838588</v>
      </c>
      <c r="X42" s="351">
        <f>SUM(X43:X56)</f>
        <v>343481.58786999999</v>
      </c>
      <c r="Y42" s="354">
        <f>X42/S42</f>
        <v>3.21568549760693E-2</v>
      </c>
      <c r="Z42" s="351">
        <f>SUM(Z43:Z56)</f>
        <v>4139476.5973900007</v>
      </c>
      <c r="AA42" s="351">
        <f>SUM(AA43:AA56)</f>
        <v>1184742.9966800001</v>
      </c>
      <c r="AB42" s="351">
        <f>SUM(AB43:AB56)</f>
        <v>229312.45637999993</v>
      </c>
      <c r="AC42" s="354">
        <f>AB42/S42</f>
        <v>2.1468304748866934E-2</v>
      </c>
      <c r="AD42" s="351">
        <f>SUM(AD43:AD56)</f>
        <v>449839.04534999991</v>
      </c>
      <c r="AE42" s="351">
        <f>SUM(AE43:AE56)</f>
        <v>254357.81195999999</v>
      </c>
      <c r="AF42" s="354">
        <f>AE42/S42</f>
        <v>2.3813058865687218E-2</v>
      </c>
      <c r="AG42" s="351">
        <f>SUM(AG43:AG56)</f>
        <v>0</v>
      </c>
      <c r="AH42" s="354">
        <f>AG42/S42</f>
        <v>0</v>
      </c>
      <c r="AI42" s="354"/>
      <c r="AJ42" s="354"/>
      <c r="AK42" s="353"/>
      <c r="AL42" s="352"/>
      <c r="AM42" s="352"/>
      <c r="AN42" s="351">
        <f>SUM(AN43:AN56)</f>
        <v>18274293.75</v>
      </c>
      <c r="AO42" s="351">
        <f>SUM(AO43:AO56)</f>
        <v>2394884.9590000003</v>
      </c>
      <c r="AP42" s="351">
        <f>SUM(AP43:AP56)</f>
        <v>2970623.9160000002</v>
      </c>
      <c r="AQ42" s="351">
        <f>SUM(AQ43:AQ56)</f>
        <v>3547208.3890000004</v>
      </c>
      <c r="AR42" s="351">
        <f>SUM(AR43:AR56)</f>
        <v>4149608.1379999998</v>
      </c>
      <c r="AS42" s="351">
        <f>SUM(AS43:AS56)</f>
        <v>5145338.4579999996</v>
      </c>
      <c r="AT42" s="351">
        <f>SUM(AT43:AT56)</f>
        <v>67000</v>
      </c>
      <c r="AU42" s="351">
        <f>SUM(AU43:AU56)</f>
        <v>0</v>
      </c>
      <c r="AV42" s="350">
        <f>SUM(AV43:AV56)</f>
        <v>3097369.3436500002</v>
      </c>
      <c r="AW42" s="349"/>
      <c r="AX42" s="349"/>
    </row>
    <row r="43" spans="1:50" ht="328.5" customHeight="1" x14ac:dyDescent="0.2">
      <c r="A43" s="283">
        <v>26</v>
      </c>
      <c r="B43" s="283">
        <v>1</v>
      </c>
      <c r="C43" s="288" t="s">
        <v>346</v>
      </c>
      <c r="D43" s="300" t="s">
        <v>424</v>
      </c>
      <c r="E43" s="368" t="s">
        <v>529</v>
      </c>
      <c r="F43" s="296"/>
      <c r="G43" s="296"/>
      <c r="H43" s="297">
        <v>45775</v>
      </c>
      <c r="I43" s="296" t="s">
        <v>530</v>
      </c>
      <c r="J43" s="295" t="s">
        <v>531</v>
      </c>
      <c r="K43" s="294">
        <v>0.03</v>
      </c>
      <c r="L43" s="374">
        <v>0.03</v>
      </c>
      <c r="M43" s="329">
        <f>L43-K43</f>
        <v>0</v>
      </c>
      <c r="N43" s="385"/>
      <c r="O43" s="385"/>
      <c r="P43" s="342" t="s">
        <v>532</v>
      </c>
      <c r="Q43" s="342" t="s">
        <v>351</v>
      </c>
      <c r="R43" s="275">
        <v>0.37</v>
      </c>
      <c r="S43" s="274">
        <v>1472467.2570100001</v>
      </c>
      <c r="T43" s="274">
        <v>832841.83768999996</v>
      </c>
      <c r="U43" s="275">
        <f>T43/S43</f>
        <v>0.56560975038668981</v>
      </c>
      <c r="V43" s="274">
        <v>806078.79174999997</v>
      </c>
      <c r="W43" s="275">
        <f>V43/S43</f>
        <v>0.54743410280431493</v>
      </c>
      <c r="X43" s="274">
        <v>69189.87818</v>
      </c>
      <c r="Y43" s="275">
        <f>X43/S43</f>
        <v>4.698907758431066E-2</v>
      </c>
      <c r="Z43" s="274">
        <v>806078.79174999997</v>
      </c>
      <c r="AA43" s="274">
        <f>Z43-V43</f>
        <v>0</v>
      </c>
      <c r="AB43" s="274">
        <f>T43-V43</f>
        <v>26763.045939999982</v>
      </c>
      <c r="AC43" s="275">
        <f>AB43/S43</f>
        <v>1.8175647582374881E-2</v>
      </c>
      <c r="AD43" s="274">
        <v>26763.045939999982</v>
      </c>
      <c r="AE43" s="274">
        <v>0</v>
      </c>
      <c r="AF43" s="292">
        <f>AE43/S43</f>
        <v>0</v>
      </c>
      <c r="AG43" s="274">
        <v>0</v>
      </c>
      <c r="AH43" s="292">
        <f>AG43/S43</f>
        <v>0</v>
      </c>
      <c r="AI43" s="366">
        <f>U43-L43</f>
        <v>0.53560975038668979</v>
      </c>
      <c r="AJ43" s="290">
        <v>46965</v>
      </c>
      <c r="AK43" s="289" t="s">
        <v>353</v>
      </c>
      <c r="AL43" s="287" t="s">
        <v>533</v>
      </c>
      <c r="AM43" s="328">
        <v>46568</v>
      </c>
      <c r="AN43" s="286">
        <v>3986854.19</v>
      </c>
      <c r="AO43" s="303">
        <v>725460.66899999999</v>
      </c>
      <c r="AP43" s="269">
        <v>1388373.561</v>
      </c>
      <c r="AQ43" s="286">
        <v>347573.16800000001</v>
      </c>
      <c r="AR43" s="286">
        <v>200000</v>
      </c>
      <c r="AS43" s="286">
        <v>1325446.7919999997</v>
      </c>
      <c r="AT43" s="286">
        <v>0</v>
      </c>
      <c r="AU43" s="285">
        <v>0</v>
      </c>
      <c r="AV43" s="267">
        <f>AQ43-AD43</f>
        <v>320810.12206000002</v>
      </c>
      <c r="AW43" s="331" t="s">
        <v>534</v>
      </c>
      <c r="AX43" s="284" t="s">
        <v>535</v>
      </c>
    </row>
    <row r="44" spans="1:50" ht="249.95" customHeight="1" x14ac:dyDescent="0.2">
      <c r="A44" s="283">
        <v>27</v>
      </c>
      <c r="B44" s="283">
        <v>2</v>
      </c>
      <c r="C44" s="271" t="s">
        <v>346</v>
      </c>
      <c r="D44" s="271" t="s">
        <v>521</v>
      </c>
      <c r="E44" s="281" t="s">
        <v>25</v>
      </c>
      <c r="F44" s="279">
        <v>2.2023700000000002</v>
      </c>
      <c r="G44" s="279"/>
      <c r="H44" s="280">
        <v>45342</v>
      </c>
      <c r="I44" s="279" t="s">
        <v>536</v>
      </c>
      <c r="J44" s="278" t="s">
        <v>360</v>
      </c>
      <c r="K44" s="294">
        <v>0.01</v>
      </c>
      <c r="L44" s="294">
        <v>0.01</v>
      </c>
      <c r="M44" s="329">
        <f>L44-K44</f>
        <v>0</v>
      </c>
      <c r="N44" s="365">
        <v>7</v>
      </c>
      <c r="O44" s="365">
        <v>0</v>
      </c>
      <c r="P44" s="340">
        <v>45627</v>
      </c>
      <c r="Q44" s="328"/>
      <c r="R44" s="275"/>
      <c r="S44" s="274">
        <v>2197700.2260500002</v>
      </c>
      <c r="T44" s="274">
        <v>777894.38252999994</v>
      </c>
      <c r="U44" s="275">
        <f>T44/S44</f>
        <v>0.35395836670961056</v>
      </c>
      <c r="V44" s="274">
        <v>692477.59944999998</v>
      </c>
      <c r="W44" s="275">
        <f>V44/S44</f>
        <v>0.31509192711628969</v>
      </c>
      <c r="X44" s="274">
        <v>126633.41461000001</v>
      </c>
      <c r="Y44" s="275">
        <f>X44/S44</f>
        <v>5.7620877091869104E-2</v>
      </c>
      <c r="Z44" s="274">
        <v>697849.42619999999</v>
      </c>
      <c r="AA44" s="274">
        <f>Z44-V44</f>
        <v>5371.8267500000075</v>
      </c>
      <c r="AB44" s="274">
        <f>T44-V44</f>
        <v>85416.783079999965</v>
      </c>
      <c r="AC44" s="275">
        <f>AB44/S44</f>
        <v>3.8866439593320874E-2</v>
      </c>
      <c r="AD44" s="274">
        <v>0</v>
      </c>
      <c r="AE44" s="274">
        <v>0</v>
      </c>
      <c r="AF44" s="292">
        <f>AE44/S44</f>
        <v>0</v>
      </c>
      <c r="AG44" s="274">
        <v>0</v>
      </c>
      <c r="AH44" s="292">
        <f>AG44/S44</f>
        <v>0</v>
      </c>
      <c r="AI44" s="366">
        <f>U44-L44</f>
        <v>0.34395836670961055</v>
      </c>
      <c r="AJ44" s="290">
        <v>46783</v>
      </c>
      <c r="AK44" s="272" t="s">
        <v>353</v>
      </c>
      <c r="AL44" s="271" t="s">
        <v>537</v>
      </c>
      <c r="AM44" s="328">
        <v>46557</v>
      </c>
      <c r="AN44" s="269">
        <v>2923999.9980000001</v>
      </c>
      <c r="AO44" s="269">
        <v>697281.78</v>
      </c>
      <c r="AP44" s="269">
        <v>159462.85200000001</v>
      </c>
      <c r="AQ44" s="269">
        <v>253000</v>
      </c>
      <c r="AR44" s="269">
        <v>280000</v>
      </c>
      <c r="AS44" s="269">
        <v>1467255.3660000002</v>
      </c>
      <c r="AT44" s="269">
        <v>67000</v>
      </c>
      <c r="AU44" s="268">
        <v>0</v>
      </c>
      <c r="AV44" s="267">
        <f>AQ44-AD44</f>
        <v>253000</v>
      </c>
      <c r="AW44" s="331" t="s">
        <v>538</v>
      </c>
      <c r="AX44" s="284" t="s">
        <v>539</v>
      </c>
    </row>
    <row r="45" spans="1:50" ht="249.95" customHeight="1" x14ac:dyDescent="0.2">
      <c r="A45" s="283">
        <v>28</v>
      </c>
      <c r="B45" s="283">
        <v>3</v>
      </c>
      <c r="C45" s="288" t="s">
        <v>346</v>
      </c>
      <c r="D45" s="300" t="s">
        <v>540</v>
      </c>
      <c r="E45" s="308" t="s">
        <v>66</v>
      </c>
      <c r="F45" s="307">
        <v>1.67</v>
      </c>
      <c r="G45" s="307"/>
      <c r="H45" s="297">
        <v>45882</v>
      </c>
      <c r="I45" s="307" t="s">
        <v>541</v>
      </c>
      <c r="J45" s="306" t="s">
        <v>404</v>
      </c>
      <c r="K45" s="294"/>
      <c r="L45" s="294"/>
      <c r="M45" s="329"/>
      <c r="N45" s="365"/>
      <c r="O45" s="365"/>
      <c r="P45" s="332">
        <v>46321</v>
      </c>
      <c r="Q45" s="310"/>
      <c r="R45" s="275"/>
      <c r="S45" s="274">
        <v>1513647.37307</v>
      </c>
      <c r="T45" s="274">
        <v>34548.131509999999</v>
      </c>
      <c r="U45" s="275">
        <f>T45/S45</f>
        <v>2.282442537453688E-2</v>
      </c>
      <c r="V45" s="274">
        <v>34548.131509999999</v>
      </c>
      <c r="W45" s="275">
        <f>V45/S45</f>
        <v>2.282442537453688E-2</v>
      </c>
      <c r="X45" s="274">
        <v>0</v>
      </c>
      <c r="Y45" s="275">
        <f>X45/S45</f>
        <v>0</v>
      </c>
      <c r="Z45" s="274">
        <v>756823.68654000002</v>
      </c>
      <c r="AA45" s="274">
        <f>Z45-V45</f>
        <v>722275.55503000005</v>
      </c>
      <c r="AB45" s="274">
        <f>T45-V45</f>
        <v>0</v>
      </c>
      <c r="AC45" s="275">
        <f>AB45/S45</f>
        <v>0</v>
      </c>
      <c r="AD45" s="274">
        <v>15886.213599999999</v>
      </c>
      <c r="AE45" s="274">
        <v>15886.213599999999</v>
      </c>
      <c r="AF45" s="292">
        <f>AE45/S45</f>
        <v>1.0495320034665252E-2</v>
      </c>
      <c r="AG45" s="274">
        <v>0</v>
      </c>
      <c r="AH45" s="292">
        <f>AG45/S45</f>
        <v>0</v>
      </c>
      <c r="AI45" s="369">
        <f>U45-L45</f>
        <v>2.282442537453688E-2</v>
      </c>
      <c r="AJ45" s="290">
        <v>47088</v>
      </c>
      <c r="AK45" s="289" t="s">
        <v>353</v>
      </c>
      <c r="AL45" s="328" t="s">
        <v>542</v>
      </c>
      <c r="AM45" s="327">
        <v>46744</v>
      </c>
      <c r="AN45" s="299">
        <v>1904999.996</v>
      </c>
      <c r="AO45" s="299">
        <v>0</v>
      </c>
      <c r="AP45" s="299">
        <v>18661.918000000001</v>
      </c>
      <c r="AQ45" s="299">
        <v>116803.77800000001</v>
      </c>
      <c r="AR45" s="299">
        <v>85000</v>
      </c>
      <c r="AS45" s="303">
        <v>1684534.3</v>
      </c>
      <c r="AT45" s="303">
        <v>0</v>
      </c>
      <c r="AU45" s="285">
        <v>0</v>
      </c>
      <c r="AV45" s="267">
        <f>AQ45-AD45</f>
        <v>100917.5644</v>
      </c>
      <c r="AW45" s="331" t="s">
        <v>543</v>
      </c>
      <c r="AX45" s="284" t="s">
        <v>544</v>
      </c>
    </row>
    <row r="46" spans="1:50" ht="249.95" customHeight="1" x14ac:dyDescent="0.2">
      <c r="A46" s="283">
        <v>29</v>
      </c>
      <c r="B46" s="283">
        <v>4</v>
      </c>
      <c r="C46" s="288" t="s">
        <v>346</v>
      </c>
      <c r="D46" s="288" t="s">
        <v>375</v>
      </c>
      <c r="E46" s="298" t="s">
        <v>545</v>
      </c>
      <c r="F46" s="296">
        <v>1.45601</v>
      </c>
      <c r="G46" s="296"/>
      <c r="H46" s="297"/>
      <c r="I46" s="296"/>
      <c r="J46" s="375" t="s">
        <v>546</v>
      </c>
      <c r="K46" s="294">
        <v>0.45</v>
      </c>
      <c r="L46" s="374">
        <v>0.45</v>
      </c>
      <c r="M46" s="329">
        <f>L46-K46</f>
        <v>0</v>
      </c>
      <c r="N46" s="365"/>
      <c r="O46" s="365"/>
      <c r="P46" s="384">
        <v>45285</v>
      </c>
      <c r="Q46" s="310"/>
      <c r="R46" s="275"/>
      <c r="S46" s="291"/>
      <c r="T46" s="291"/>
      <c r="U46" s="292"/>
      <c r="V46" s="291"/>
      <c r="W46" s="292"/>
      <c r="X46" s="291"/>
      <c r="Y46" s="292"/>
      <c r="Z46" s="291"/>
      <c r="AA46" s="291"/>
      <c r="AB46" s="274"/>
      <c r="AC46" s="275"/>
      <c r="AD46" s="291"/>
      <c r="AE46" s="291"/>
      <c r="AF46" s="291"/>
      <c r="AG46" s="291"/>
      <c r="AH46" s="291"/>
      <c r="AI46" s="383"/>
      <c r="AJ46" s="334"/>
      <c r="AK46" s="289" t="s">
        <v>353</v>
      </c>
      <c r="AL46" s="271" t="s">
        <v>547</v>
      </c>
      <c r="AM46" s="328">
        <v>46721</v>
      </c>
      <c r="AN46" s="286">
        <v>1903455.923</v>
      </c>
      <c r="AO46" s="286">
        <v>377401.29000000004</v>
      </c>
      <c r="AP46" s="269">
        <v>89845.733999999997</v>
      </c>
      <c r="AQ46" s="286">
        <v>646308.62800000003</v>
      </c>
      <c r="AR46" s="286">
        <v>789900.27099999995</v>
      </c>
      <c r="AS46" s="286">
        <v>0</v>
      </c>
      <c r="AT46" s="286">
        <v>0</v>
      </c>
      <c r="AU46" s="285">
        <v>0</v>
      </c>
      <c r="AV46" s="267">
        <f>AQ46-AD46</f>
        <v>646308.62800000003</v>
      </c>
      <c r="AW46" s="331" t="s">
        <v>548</v>
      </c>
      <c r="AX46" s="284" t="s">
        <v>549</v>
      </c>
    </row>
    <row r="47" spans="1:50" ht="249.95" customHeight="1" x14ac:dyDescent="0.2">
      <c r="A47" s="283">
        <v>30</v>
      </c>
      <c r="B47" s="283">
        <v>5</v>
      </c>
      <c r="C47" s="271" t="s">
        <v>431</v>
      </c>
      <c r="D47" s="337" t="s">
        <v>439</v>
      </c>
      <c r="E47" s="336" t="s">
        <v>550</v>
      </c>
      <c r="F47" s="335"/>
      <c r="G47" s="335"/>
      <c r="H47" s="280">
        <v>45751</v>
      </c>
      <c r="I47" s="335" t="s">
        <v>551</v>
      </c>
      <c r="J47" s="334" t="s">
        <v>552</v>
      </c>
      <c r="K47" s="294"/>
      <c r="L47" s="294"/>
      <c r="M47" s="329"/>
      <c r="N47" s="365"/>
      <c r="O47" s="365"/>
      <c r="P47" s="382">
        <v>46266</v>
      </c>
      <c r="Q47" s="381"/>
      <c r="R47" s="275"/>
      <c r="S47" s="274">
        <v>1677249.9896199999</v>
      </c>
      <c r="T47" s="274">
        <v>838624.99480999995</v>
      </c>
      <c r="U47" s="275">
        <f>T47/S47</f>
        <v>0.5</v>
      </c>
      <c r="V47" s="274">
        <v>838624.99480999995</v>
      </c>
      <c r="W47" s="275">
        <f>V47/S47</f>
        <v>0.5</v>
      </c>
      <c r="X47" s="274">
        <v>0</v>
      </c>
      <c r="Y47" s="275">
        <f>X47/S47</f>
        <v>0</v>
      </c>
      <c r="Z47" s="274">
        <v>838624.99480999995</v>
      </c>
      <c r="AA47" s="274">
        <f>Z47-V47</f>
        <v>0</v>
      </c>
      <c r="AB47" s="274">
        <f>T47-V47</f>
        <v>0</v>
      </c>
      <c r="AC47" s="275">
        <f>AB47/S47</f>
        <v>0</v>
      </c>
      <c r="AD47" s="274">
        <v>0</v>
      </c>
      <c r="AE47" s="274">
        <v>0</v>
      </c>
      <c r="AF47" s="292">
        <f>AE47/S47</f>
        <v>0</v>
      </c>
      <c r="AG47" s="274">
        <v>0</v>
      </c>
      <c r="AH47" s="292">
        <f>AG47/S47</f>
        <v>0</v>
      </c>
      <c r="AI47" s="366">
        <f>U47-L47</f>
        <v>0.5</v>
      </c>
      <c r="AJ47" s="290">
        <v>46652</v>
      </c>
      <c r="AK47" s="272" t="s">
        <v>353</v>
      </c>
      <c r="AL47" s="328" t="s">
        <v>473</v>
      </c>
      <c r="AM47" s="328">
        <v>46546</v>
      </c>
      <c r="AN47" s="269">
        <v>1800000</v>
      </c>
      <c r="AO47" s="299">
        <v>0</v>
      </c>
      <c r="AP47" s="299">
        <v>838624.995</v>
      </c>
      <c r="AQ47" s="299">
        <v>116726.91800000001</v>
      </c>
      <c r="AR47" s="299">
        <v>844648.08700000006</v>
      </c>
      <c r="AS47" s="299">
        <v>0</v>
      </c>
      <c r="AT47" s="299">
        <v>0</v>
      </c>
      <c r="AU47" s="268">
        <v>0</v>
      </c>
      <c r="AV47" s="267">
        <f>AQ47-AD47</f>
        <v>116726.91800000001</v>
      </c>
      <c r="AW47" s="331" t="s">
        <v>553</v>
      </c>
      <c r="AX47" s="284" t="s">
        <v>554</v>
      </c>
    </row>
    <row r="48" spans="1:50" ht="249.95" customHeight="1" x14ac:dyDescent="0.2">
      <c r="A48" s="283">
        <v>31</v>
      </c>
      <c r="B48" s="283">
        <v>6</v>
      </c>
      <c r="C48" s="288" t="s">
        <v>346</v>
      </c>
      <c r="D48" s="288" t="s">
        <v>555</v>
      </c>
      <c r="E48" s="298" t="s">
        <v>556</v>
      </c>
      <c r="F48" s="296">
        <v>1.0147699999999999</v>
      </c>
      <c r="G48" s="296"/>
      <c r="H48" s="297">
        <v>44760</v>
      </c>
      <c r="I48" s="296" t="s">
        <v>557</v>
      </c>
      <c r="J48" s="295" t="s">
        <v>558</v>
      </c>
      <c r="K48" s="294">
        <v>0.03</v>
      </c>
      <c r="L48" s="294">
        <v>0.03</v>
      </c>
      <c r="M48" s="329">
        <f>L48-K48</f>
        <v>0</v>
      </c>
      <c r="N48" s="365">
        <v>0</v>
      </c>
      <c r="O48" s="365">
        <v>0</v>
      </c>
      <c r="P48" s="340">
        <v>45267</v>
      </c>
      <c r="Q48" s="328"/>
      <c r="R48" s="275"/>
      <c r="S48" s="274">
        <v>974781.62557000003</v>
      </c>
      <c r="T48" s="274">
        <f>183015.51216-4074.90504</f>
        <v>178940.60712</v>
      </c>
      <c r="U48" s="275">
        <f>T48/S48</f>
        <v>0.1835699426683029</v>
      </c>
      <c r="V48" s="274">
        <v>130377.75659</v>
      </c>
      <c r="W48" s="275">
        <f>V48/S48</f>
        <v>0.13375073264615764</v>
      </c>
      <c r="X48" s="274">
        <v>48783.752849999997</v>
      </c>
      <c r="Y48" s="275">
        <f>X48/S48</f>
        <v>5.0045827260514757E-2</v>
      </c>
      <c r="Z48" s="274">
        <v>131425.08913000001</v>
      </c>
      <c r="AA48" s="274">
        <f>Z48-V48</f>
        <v>1047.3325400000031</v>
      </c>
      <c r="AB48" s="274">
        <f>T48-V48</f>
        <v>48562.850529999996</v>
      </c>
      <c r="AC48" s="275">
        <f>AB48/S48</f>
        <v>4.9819210022145261E-2</v>
      </c>
      <c r="AD48" s="274">
        <v>0</v>
      </c>
      <c r="AE48" s="274">
        <v>0</v>
      </c>
      <c r="AF48" s="292">
        <f>AE48/S48</f>
        <v>0</v>
      </c>
      <c r="AG48" s="274">
        <v>0</v>
      </c>
      <c r="AH48" s="292">
        <f>AG48/S48</f>
        <v>0</v>
      </c>
      <c r="AI48" s="373">
        <f>U48-L48</f>
        <v>0.1535699426683029</v>
      </c>
      <c r="AJ48" s="290">
        <v>46417</v>
      </c>
      <c r="AK48" s="289" t="s">
        <v>353</v>
      </c>
      <c r="AL48" s="288" t="s">
        <v>559</v>
      </c>
      <c r="AM48" s="328">
        <v>46721</v>
      </c>
      <c r="AN48" s="286">
        <v>1502492.1500000001</v>
      </c>
      <c r="AO48" s="286">
        <v>250125.201</v>
      </c>
      <c r="AP48" s="269">
        <v>169065.90700000001</v>
      </c>
      <c r="AQ48" s="286">
        <v>101000</v>
      </c>
      <c r="AR48" s="286">
        <v>495301.04200000002</v>
      </c>
      <c r="AS48" s="286">
        <v>487000</v>
      </c>
      <c r="AT48" s="286">
        <v>0</v>
      </c>
      <c r="AU48" s="285">
        <v>0</v>
      </c>
      <c r="AV48" s="267">
        <f>AQ48-AD48</f>
        <v>101000</v>
      </c>
      <c r="AW48" s="331" t="s">
        <v>560</v>
      </c>
      <c r="AX48" s="284" t="s">
        <v>561</v>
      </c>
    </row>
    <row r="49" spans="1:50" ht="279.75" customHeight="1" x14ac:dyDescent="0.2">
      <c r="A49" s="283">
        <v>32</v>
      </c>
      <c r="B49" s="283">
        <v>7</v>
      </c>
      <c r="C49" s="271" t="s">
        <v>423</v>
      </c>
      <c r="D49" s="337" t="s">
        <v>424</v>
      </c>
      <c r="E49" s="336" t="s">
        <v>562</v>
      </c>
      <c r="F49" s="335"/>
      <c r="G49" s="335"/>
      <c r="H49" s="280">
        <v>46010</v>
      </c>
      <c r="I49" s="335" t="s">
        <v>563</v>
      </c>
      <c r="J49" s="334" t="s">
        <v>427</v>
      </c>
      <c r="K49" s="294">
        <v>0.2</v>
      </c>
      <c r="L49" s="374">
        <v>0.2</v>
      </c>
      <c r="M49" s="329">
        <f>L49-K49</f>
        <v>0</v>
      </c>
      <c r="N49" s="365">
        <v>20</v>
      </c>
      <c r="O49" s="365">
        <v>1</v>
      </c>
      <c r="P49" s="340">
        <v>45383</v>
      </c>
      <c r="Q49" s="340" t="s">
        <v>351</v>
      </c>
      <c r="R49" s="275">
        <v>1</v>
      </c>
      <c r="S49" s="274">
        <v>526157.74248000002</v>
      </c>
      <c r="T49" s="274">
        <v>157847.32274</v>
      </c>
      <c r="U49" s="275">
        <f>T49/S49</f>
        <v>0.29999999999239774</v>
      </c>
      <c r="V49" s="274">
        <v>157847.32274</v>
      </c>
      <c r="W49" s="275">
        <f>V49/S49</f>
        <v>0.29999999999239774</v>
      </c>
      <c r="X49" s="274">
        <v>0</v>
      </c>
      <c r="Y49" s="275">
        <f>X49/S49</f>
        <v>0</v>
      </c>
      <c r="Z49" s="274">
        <v>157847.32274</v>
      </c>
      <c r="AA49" s="274">
        <f>Z49-V49</f>
        <v>0</v>
      </c>
      <c r="AB49" s="274">
        <f>T49-V49</f>
        <v>0</v>
      </c>
      <c r="AC49" s="275">
        <f>AB49/S49</f>
        <v>0</v>
      </c>
      <c r="AD49" s="274">
        <v>125857.88254999999</v>
      </c>
      <c r="AE49" s="274">
        <v>125857.88254999999</v>
      </c>
      <c r="AF49" s="275">
        <f>AE49/S49</f>
        <v>0.23920180658518778</v>
      </c>
      <c r="AG49" s="274">
        <v>0</v>
      </c>
      <c r="AH49" s="275">
        <f>AG49/S49</f>
        <v>0</v>
      </c>
      <c r="AI49" s="369">
        <f>U49-L49</f>
        <v>9.9999999992397726E-2</v>
      </c>
      <c r="AJ49" s="273">
        <v>46383</v>
      </c>
      <c r="AK49" s="272" t="s">
        <v>353</v>
      </c>
      <c r="AL49" s="328" t="s">
        <v>428</v>
      </c>
      <c r="AM49" s="328">
        <v>46746</v>
      </c>
      <c r="AN49" s="269">
        <v>896380.25899999996</v>
      </c>
      <c r="AO49" s="299">
        <v>226795.40399999998</v>
      </c>
      <c r="AP49" s="299">
        <v>148275.67000000001</v>
      </c>
      <c r="AQ49" s="299">
        <v>402309.185</v>
      </c>
      <c r="AR49" s="299">
        <v>119000</v>
      </c>
      <c r="AS49" s="299">
        <v>0</v>
      </c>
      <c r="AT49" s="299">
        <v>0</v>
      </c>
      <c r="AU49" s="268">
        <v>0</v>
      </c>
      <c r="AV49" s="267">
        <f>AQ49-AD49</f>
        <v>276451.30245000002</v>
      </c>
      <c r="AW49" s="376" t="s">
        <v>564</v>
      </c>
      <c r="AX49" s="266" t="s">
        <v>565</v>
      </c>
    </row>
    <row r="50" spans="1:50" ht="294.75" customHeight="1" x14ac:dyDescent="0.2">
      <c r="A50" s="283">
        <v>33</v>
      </c>
      <c r="B50" s="283">
        <v>8</v>
      </c>
      <c r="C50" s="288" t="s">
        <v>431</v>
      </c>
      <c r="D50" s="300" t="s">
        <v>447</v>
      </c>
      <c r="E50" s="336" t="s">
        <v>566</v>
      </c>
      <c r="F50" s="307"/>
      <c r="G50" s="307"/>
      <c r="H50" s="297">
        <v>45891</v>
      </c>
      <c r="I50" s="307" t="s">
        <v>567</v>
      </c>
      <c r="J50" s="306" t="s">
        <v>460</v>
      </c>
      <c r="K50" s="294"/>
      <c r="L50" s="294"/>
      <c r="M50" s="329"/>
      <c r="N50" s="365"/>
      <c r="O50" s="365"/>
      <c r="P50" s="338" t="s">
        <v>568</v>
      </c>
      <c r="Q50" s="342" t="s">
        <v>351</v>
      </c>
      <c r="R50" s="343">
        <v>0</v>
      </c>
      <c r="S50" s="274">
        <v>747514.17738000001</v>
      </c>
      <c r="T50" s="274">
        <v>10596.434209999999</v>
      </c>
      <c r="U50" s="275">
        <f>T50/S50</f>
        <v>1.4175562859743977E-2</v>
      </c>
      <c r="V50" s="274">
        <v>10596.434209999999</v>
      </c>
      <c r="W50" s="275">
        <f>V50/S50</f>
        <v>1.4175562859743977E-2</v>
      </c>
      <c r="X50" s="274">
        <v>0</v>
      </c>
      <c r="Y50" s="275">
        <f>X50/S50</f>
        <v>0</v>
      </c>
      <c r="Z50" s="274">
        <v>224254.25321</v>
      </c>
      <c r="AA50" s="274">
        <f>Z50-V50</f>
        <v>213657.81899999999</v>
      </c>
      <c r="AB50" s="274">
        <f>T50-V50</f>
        <v>0</v>
      </c>
      <c r="AC50" s="275">
        <f>AB50/S50</f>
        <v>0</v>
      </c>
      <c r="AD50" s="274">
        <v>0</v>
      </c>
      <c r="AE50" s="274">
        <v>0</v>
      </c>
      <c r="AF50" s="292">
        <f>AE50/S50</f>
        <v>0</v>
      </c>
      <c r="AG50" s="274">
        <v>0</v>
      </c>
      <c r="AH50" s="292">
        <f>AG50/S50</f>
        <v>0</v>
      </c>
      <c r="AI50" s="369">
        <f>U50-L50</f>
        <v>1.4175562859743977E-2</v>
      </c>
      <c r="AJ50" s="290">
        <v>46732</v>
      </c>
      <c r="AK50" s="272" t="s">
        <v>353</v>
      </c>
      <c r="AL50" s="328" t="s">
        <v>569</v>
      </c>
      <c r="AM50" s="328">
        <v>46745</v>
      </c>
      <c r="AN50" s="269">
        <v>772192.73</v>
      </c>
      <c r="AO50" s="299">
        <v>0</v>
      </c>
      <c r="AP50" s="299">
        <v>10596.433999999999</v>
      </c>
      <c r="AQ50" s="299">
        <v>427585.61699999997</v>
      </c>
      <c r="AR50" s="299">
        <v>334010.679</v>
      </c>
      <c r="AS50" s="303">
        <v>0</v>
      </c>
      <c r="AT50" s="303">
        <v>0</v>
      </c>
      <c r="AU50" s="285">
        <v>0</v>
      </c>
      <c r="AV50" s="267">
        <f>AQ50-AD50</f>
        <v>427585.61699999997</v>
      </c>
      <c r="AW50" s="331" t="s">
        <v>570</v>
      </c>
      <c r="AX50" s="284" t="s">
        <v>571</v>
      </c>
    </row>
    <row r="51" spans="1:50" ht="249.95" customHeight="1" x14ac:dyDescent="0.2">
      <c r="A51" s="283">
        <v>34</v>
      </c>
      <c r="B51" s="283">
        <v>9</v>
      </c>
      <c r="C51" s="271" t="s">
        <v>423</v>
      </c>
      <c r="D51" s="337" t="s">
        <v>572</v>
      </c>
      <c r="E51" s="336" t="s">
        <v>159</v>
      </c>
      <c r="F51" s="335"/>
      <c r="G51" s="335"/>
      <c r="H51" s="280">
        <v>45910</v>
      </c>
      <c r="I51" s="335" t="s">
        <v>573</v>
      </c>
      <c r="J51" s="334" t="s">
        <v>574</v>
      </c>
      <c r="K51" s="294">
        <v>0.2</v>
      </c>
      <c r="L51" s="294">
        <v>0.21</v>
      </c>
      <c r="M51" s="329">
        <f>L51-K51</f>
        <v>9.9999999999999811E-3</v>
      </c>
      <c r="N51" s="365">
        <v>23</v>
      </c>
      <c r="O51" s="365">
        <v>5</v>
      </c>
      <c r="P51" s="339">
        <v>45819</v>
      </c>
      <c r="Q51" s="339"/>
      <c r="R51" s="275"/>
      <c r="S51" s="274">
        <v>522435.25193999999</v>
      </c>
      <c r="T51" s="274">
        <v>225300.35240999999</v>
      </c>
      <c r="U51" s="275">
        <f>T51/S51</f>
        <v>0.43125028713773511</v>
      </c>
      <c r="V51" s="274">
        <v>156730.57558</v>
      </c>
      <c r="W51" s="275">
        <f>V51/S51</f>
        <v>0.29999999999617177</v>
      </c>
      <c r="X51" s="274">
        <v>98874.542230000006</v>
      </c>
      <c r="Y51" s="275">
        <f>X51/S51</f>
        <v>0.18925702632592531</v>
      </c>
      <c r="Z51" s="274">
        <v>156730.57558</v>
      </c>
      <c r="AA51" s="274">
        <f>Z51-V51</f>
        <v>0</v>
      </c>
      <c r="AB51" s="274">
        <f>T51-V51</f>
        <v>68569.776829999988</v>
      </c>
      <c r="AC51" s="275">
        <f>AB51/S51</f>
        <v>0.13125028714156334</v>
      </c>
      <c r="AD51" s="274">
        <f>126333.39819+38743.46871+1175.36541+1866.26645+347.31874+252.36995</f>
        <v>168718.18745</v>
      </c>
      <c r="AE51" s="274">
        <v>0</v>
      </c>
      <c r="AF51" s="275">
        <f>AE51/S51</f>
        <v>0</v>
      </c>
      <c r="AG51" s="274">
        <v>0</v>
      </c>
      <c r="AH51" s="275">
        <f>AG51/S51</f>
        <v>0</v>
      </c>
      <c r="AI51" s="366">
        <f>U51-L51</f>
        <v>0.22125028713773512</v>
      </c>
      <c r="AJ51" s="273">
        <v>46397</v>
      </c>
      <c r="AK51" s="272" t="s">
        <v>575</v>
      </c>
      <c r="AL51" s="328" t="s">
        <v>576</v>
      </c>
      <c r="AM51" s="328">
        <v>46568</v>
      </c>
      <c r="AN51" s="269">
        <v>660215.99499999988</v>
      </c>
      <c r="AO51" s="299">
        <v>14943.242</v>
      </c>
      <c r="AP51" s="299">
        <v>132878.56700000001</v>
      </c>
      <c r="AQ51" s="299">
        <v>362394.18599999999</v>
      </c>
      <c r="AR51" s="299">
        <v>150000</v>
      </c>
      <c r="AS51" s="299">
        <v>0</v>
      </c>
      <c r="AT51" s="299">
        <v>0</v>
      </c>
      <c r="AU51" s="268">
        <v>0</v>
      </c>
      <c r="AV51" s="267">
        <f>AQ51-AD51</f>
        <v>193675.99854999999</v>
      </c>
      <c r="AW51" s="376" t="s">
        <v>577</v>
      </c>
      <c r="AX51" s="266" t="s">
        <v>578</v>
      </c>
    </row>
    <row r="52" spans="1:50" ht="249.95" customHeight="1" x14ac:dyDescent="0.2">
      <c r="A52" s="283">
        <v>35</v>
      </c>
      <c r="B52" s="283">
        <v>10</v>
      </c>
      <c r="C52" s="288" t="s">
        <v>346</v>
      </c>
      <c r="D52" s="300" t="s">
        <v>579</v>
      </c>
      <c r="E52" s="308" t="s">
        <v>580</v>
      </c>
      <c r="F52" s="307">
        <v>0.68</v>
      </c>
      <c r="G52" s="307"/>
      <c r="H52" s="380">
        <v>46097</v>
      </c>
      <c r="I52" s="307" t="s">
        <v>581</v>
      </c>
      <c r="J52" s="306" t="s">
        <v>582</v>
      </c>
      <c r="K52" s="294"/>
      <c r="L52" s="294"/>
      <c r="M52" s="329"/>
      <c r="N52" s="365"/>
      <c r="O52" s="365"/>
      <c r="P52" s="300" t="s">
        <v>583</v>
      </c>
      <c r="Q52" s="337"/>
      <c r="R52" s="275"/>
      <c r="S52" s="274">
        <v>375379.05274999997</v>
      </c>
      <c r="T52" s="274">
        <v>112613.71580999999</v>
      </c>
      <c r="U52" s="275">
        <f>T52/S52</f>
        <v>0.2999999999600404</v>
      </c>
      <c r="V52" s="274">
        <v>112613.71580999999</v>
      </c>
      <c r="W52" s="275">
        <f>V52/S52</f>
        <v>0.2999999999600404</v>
      </c>
      <c r="X52" s="274">
        <v>0</v>
      </c>
      <c r="Y52" s="275">
        <f>X52/S52</f>
        <v>0</v>
      </c>
      <c r="Z52" s="274">
        <v>112613.71583</v>
      </c>
      <c r="AA52" s="274">
        <f>Z52-V52</f>
        <v>2.0000006770715117E-5</v>
      </c>
      <c r="AB52" s="274">
        <v>0</v>
      </c>
      <c r="AC52" s="275">
        <v>0</v>
      </c>
      <c r="AD52" s="274">
        <v>112613.71580999999</v>
      </c>
      <c r="AE52" s="274">
        <v>112613.71580999999</v>
      </c>
      <c r="AF52" s="292">
        <f>AE52/S52</f>
        <v>0.2999999999600404</v>
      </c>
      <c r="AG52" s="274">
        <v>0</v>
      </c>
      <c r="AH52" s="292">
        <v>0</v>
      </c>
      <c r="AI52" s="366">
        <f>U52-L52</f>
        <v>0.2999999999600404</v>
      </c>
      <c r="AJ52" s="290">
        <v>46762</v>
      </c>
      <c r="AK52" s="289" t="s">
        <v>353</v>
      </c>
      <c r="AL52" s="287" t="s">
        <v>584</v>
      </c>
      <c r="AM52" s="287">
        <v>46748</v>
      </c>
      <c r="AN52" s="303">
        <v>568789.853</v>
      </c>
      <c r="AO52" s="303">
        <v>0</v>
      </c>
      <c r="AP52" s="299">
        <v>0</v>
      </c>
      <c r="AQ52" s="303">
        <v>137014.34299999999</v>
      </c>
      <c r="AR52" s="303">
        <v>431775.51</v>
      </c>
      <c r="AS52" s="303">
        <v>0</v>
      </c>
      <c r="AT52" s="303">
        <v>0</v>
      </c>
      <c r="AU52" s="285">
        <v>0</v>
      </c>
      <c r="AV52" s="267">
        <f>AQ52-AD52</f>
        <v>24400.627189999999</v>
      </c>
      <c r="AW52" s="331" t="s">
        <v>585</v>
      </c>
      <c r="AX52" s="284" t="s">
        <v>586</v>
      </c>
    </row>
    <row r="53" spans="1:50" ht="249.95" customHeight="1" x14ac:dyDescent="0.2">
      <c r="A53" s="283">
        <v>36</v>
      </c>
      <c r="B53" s="283">
        <v>11</v>
      </c>
      <c r="C53" s="288" t="s">
        <v>346</v>
      </c>
      <c r="D53" s="288" t="s">
        <v>424</v>
      </c>
      <c r="E53" s="298" t="s">
        <v>587</v>
      </c>
      <c r="F53" s="379">
        <v>0.95384999999999998</v>
      </c>
      <c r="G53" s="379"/>
      <c r="H53" s="297"/>
      <c r="I53" s="379"/>
      <c r="J53" s="378" t="s">
        <v>588</v>
      </c>
      <c r="K53" s="294"/>
      <c r="L53" s="294"/>
      <c r="M53" s="329"/>
      <c r="N53" s="365"/>
      <c r="O53" s="365"/>
      <c r="P53" s="270">
        <v>44462</v>
      </c>
      <c r="Q53" s="328"/>
      <c r="R53" s="275"/>
      <c r="S53" s="274"/>
      <c r="T53" s="274"/>
      <c r="U53" s="275"/>
      <c r="V53" s="274"/>
      <c r="W53" s="275"/>
      <c r="X53" s="274"/>
      <c r="Y53" s="275"/>
      <c r="Z53" s="274"/>
      <c r="AA53" s="274"/>
      <c r="AB53" s="274"/>
      <c r="AC53" s="275"/>
      <c r="AD53" s="274"/>
      <c r="AE53" s="274"/>
      <c r="AF53" s="274"/>
      <c r="AG53" s="274"/>
      <c r="AH53" s="274"/>
      <c r="AI53" s="292"/>
      <c r="AJ53" s="377"/>
      <c r="AK53" s="289" t="s">
        <v>353</v>
      </c>
      <c r="AL53" s="271" t="s">
        <v>589</v>
      </c>
      <c r="AM53" s="328">
        <v>46748</v>
      </c>
      <c r="AN53" s="269">
        <v>518880.766</v>
      </c>
      <c r="AO53" s="303">
        <v>102877.37299999999</v>
      </c>
      <c r="AP53" s="269">
        <v>0</v>
      </c>
      <c r="AQ53" s="286">
        <v>398806</v>
      </c>
      <c r="AR53" s="286">
        <v>17197.393</v>
      </c>
      <c r="AS53" s="286">
        <v>0</v>
      </c>
      <c r="AT53" s="286">
        <v>0</v>
      </c>
      <c r="AU53" s="285">
        <v>0</v>
      </c>
      <c r="AV53" s="267">
        <f>AQ53-AD53</f>
        <v>398806</v>
      </c>
      <c r="AW53" s="284"/>
      <c r="AX53" s="284"/>
    </row>
    <row r="54" spans="1:50" ht="249.95" customHeight="1" x14ac:dyDescent="0.2">
      <c r="A54" s="283">
        <v>37</v>
      </c>
      <c r="B54" s="283">
        <v>12</v>
      </c>
      <c r="C54" s="271" t="s">
        <v>590</v>
      </c>
      <c r="D54" s="337" t="s">
        <v>447</v>
      </c>
      <c r="E54" s="336" t="s">
        <v>591</v>
      </c>
      <c r="F54" s="335"/>
      <c r="G54" s="335"/>
      <c r="H54" s="280">
        <v>45912</v>
      </c>
      <c r="I54" s="335" t="s">
        <v>592</v>
      </c>
      <c r="J54" s="334" t="s">
        <v>410</v>
      </c>
      <c r="K54" s="294"/>
      <c r="L54" s="294"/>
      <c r="M54" s="329"/>
      <c r="N54" s="365"/>
      <c r="O54" s="365"/>
      <c r="P54" s="310">
        <v>46382</v>
      </c>
      <c r="Q54" s="310"/>
      <c r="R54" s="275"/>
      <c r="S54" s="274">
        <v>258380.5816</v>
      </c>
      <c r="T54" s="274">
        <v>4031.89041</v>
      </c>
      <c r="U54" s="275">
        <f>T54/S54</f>
        <v>1.5604463714079664E-2</v>
      </c>
      <c r="V54" s="274">
        <v>4031.89041</v>
      </c>
      <c r="W54" s="275">
        <f>V54/S54</f>
        <v>1.5604463714079664E-2</v>
      </c>
      <c r="X54" s="274">
        <v>0</v>
      </c>
      <c r="Y54" s="275">
        <f>X54/S54</f>
        <v>0</v>
      </c>
      <c r="Z54" s="274">
        <v>77514.174480000001</v>
      </c>
      <c r="AA54" s="274">
        <f>Z54-V54</f>
        <v>73482.284069999994</v>
      </c>
      <c r="AB54" s="274">
        <f>T54-V54</f>
        <v>0</v>
      </c>
      <c r="AC54" s="275">
        <f>AB54/S54</f>
        <v>0</v>
      </c>
      <c r="AD54" s="274">
        <v>0</v>
      </c>
      <c r="AE54" s="274">
        <v>0</v>
      </c>
      <c r="AF54" s="275">
        <f>AE54/S54</f>
        <v>0</v>
      </c>
      <c r="AG54" s="274">
        <v>0</v>
      </c>
      <c r="AH54" s="275">
        <f>AG54/S54</f>
        <v>0</v>
      </c>
      <c r="AI54" s="369">
        <f>U54-L54</f>
        <v>1.5604463714079664E-2</v>
      </c>
      <c r="AJ54" s="273">
        <v>47148</v>
      </c>
      <c r="AK54" s="272" t="s">
        <v>353</v>
      </c>
      <c r="AL54" s="328" t="s">
        <v>593</v>
      </c>
      <c r="AM54" s="327">
        <v>46744</v>
      </c>
      <c r="AN54" s="299">
        <v>354031.89</v>
      </c>
      <c r="AO54" s="299">
        <v>0</v>
      </c>
      <c r="AP54" s="299">
        <v>4031.89</v>
      </c>
      <c r="AQ54" s="299">
        <v>69268.11</v>
      </c>
      <c r="AR54" s="299">
        <v>100000</v>
      </c>
      <c r="AS54" s="299">
        <v>181102</v>
      </c>
      <c r="AT54" s="299">
        <v>0</v>
      </c>
      <c r="AU54" s="268">
        <v>0</v>
      </c>
      <c r="AV54" s="267">
        <f>AQ54-AD54</f>
        <v>69268.11</v>
      </c>
      <c r="AW54" s="376" t="s">
        <v>594</v>
      </c>
      <c r="AX54" s="266" t="s">
        <v>595</v>
      </c>
    </row>
    <row r="55" spans="1:50" ht="249.95" customHeight="1" x14ac:dyDescent="0.2">
      <c r="A55" s="283">
        <v>38</v>
      </c>
      <c r="B55" s="283">
        <v>13</v>
      </c>
      <c r="C55" s="271" t="s">
        <v>431</v>
      </c>
      <c r="D55" s="337" t="s">
        <v>396</v>
      </c>
      <c r="E55" s="336" t="s">
        <v>596</v>
      </c>
      <c r="F55" s="335"/>
      <c r="G55" s="335"/>
      <c r="H55" s="280">
        <v>45839</v>
      </c>
      <c r="I55" s="335" t="s">
        <v>597</v>
      </c>
      <c r="J55" s="334" t="s">
        <v>598</v>
      </c>
      <c r="K55" s="294"/>
      <c r="L55" s="294"/>
      <c r="M55" s="329"/>
      <c r="N55" s="365"/>
      <c r="O55" s="365"/>
      <c r="P55" s="338" t="s">
        <v>599</v>
      </c>
      <c r="Q55" s="337"/>
      <c r="R55" s="275"/>
      <c r="S55" s="274">
        <v>274979.44669000001</v>
      </c>
      <c r="T55" s="274">
        <v>7581.5440500000004</v>
      </c>
      <c r="U55" s="275">
        <f>T55/S55</f>
        <v>2.7571311751700144E-2</v>
      </c>
      <c r="V55" s="274">
        <v>7581.5440500000004</v>
      </c>
      <c r="W55" s="275">
        <f>V55/S55</f>
        <v>2.7571311751700144E-2</v>
      </c>
      <c r="X55" s="274">
        <v>0</v>
      </c>
      <c r="Y55" s="275">
        <f>X55/S55</f>
        <v>0</v>
      </c>
      <c r="Z55" s="274">
        <v>137489.72334999999</v>
      </c>
      <c r="AA55" s="274">
        <f>Z55-V55</f>
        <v>129908.17929999999</v>
      </c>
      <c r="AB55" s="274">
        <f>T55-V55</f>
        <v>0</v>
      </c>
      <c r="AC55" s="275">
        <f>AB55/S55</f>
        <v>0</v>
      </c>
      <c r="AD55" s="274">
        <v>0</v>
      </c>
      <c r="AE55" s="274">
        <v>0</v>
      </c>
      <c r="AF55" s="292">
        <f>AE55/S55</f>
        <v>0</v>
      </c>
      <c r="AG55" s="274">
        <v>0</v>
      </c>
      <c r="AH55" s="292">
        <f>AG55/S55</f>
        <v>0</v>
      </c>
      <c r="AI55" s="369">
        <f>U55-L55</f>
        <v>2.7571311751700144E-2</v>
      </c>
      <c r="AJ55" s="290">
        <v>46715</v>
      </c>
      <c r="AK55" s="272" t="s">
        <v>353</v>
      </c>
      <c r="AL55" s="328" t="s">
        <v>600</v>
      </c>
      <c r="AM55" s="328">
        <v>46660</v>
      </c>
      <c r="AN55" s="269">
        <v>332000</v>
      </c>
      <c r="AO55" s="299">
        <v>0</v>
      </c>
      <c r="AP55" s="299">
        <v>7581.5439999999999</v>
      </c>
      <c r="AQ55" s="299">
        <v>98418.456000000006</v>
      </c>
      <c r="AR55" s="299">
        <v>226000</v>
      </c>
      <c r="AS55" s="299">
        <v>0</v>
      </c>
      <c r="AT55" s="299">
        <v>0</v>
      </c>
      <c r="AU55" s="268">
        <v>0</v>
      </c>
      <c r="AV55" s="267">
        <f>AQ55-AD55</f>
        <v>98418.456000000006</v>
      </c>
      <c r="AW55" s="331" t="s">
        <v>601</v>
      </c>
      <c r="AX55" s="284" t="s">
        <v>602</v>
      </c>
    </row>
    <row r="56" spans="1:50" ht="249.95" customHeight="1" x14ac:dyDescent="0.2">
      <c r="A56" s="283">
        <v>39</v>
      </c>
      <c r="B56" s="283">
        <v>14</v>
      </c>
      <c r="C56" s="288" t="s">
        <v>431</v>
      </c>
      <c r="D56" s="337" t="s">
        <v>414</v>
      </c>
      <c r="E56" s="336" t="s">
        <v>603</v>
      </c>
      <c r="F56" s="335"/>
      <c r="G56" s="335"/>
      <c r="H56" s="280">
        <v>45901</v>
      </c>
      <c r="I56" s="335" t="s">
        <v>604</v>
      </c>
      <c r="J56" s="334" t="s">
        <v>404</v>
      </c>
      <c r="K56" s="294"/>
      <c r="L56" s="294"/>
      <c r="M56" s="329"/>
      <c r="N56" s="365"/>
      <c r="O56" s="365"/>
      <c r="P56" s="344" t="s">
        <v>443</v>
      </c>
      <c r="Q56" s="342" t="s">
        <v>351</v>
      </c>
      <c r="R56" s="275">
        <v>0</v>
      </c>
      <c r="S56" s="274">
        <v>140749.47923999999</v>
      </c>
      <c r="T56" s="274">
        <v>3224.8438000000001</v>
      </c>
      <c r="U56" s="275">
        <f>T56/S56</f>
        <v>2.2911941254866987E-2</v>
      </c>
      <c r="V56" s="274">
        <v>3224.8438000000001</v>
      </c>
      <c r="W56" s="275">
        <f>V56/S56</f>
        <v>2.2911941254866987E-2</v>
      </c>
      <c r="X56" s="274">
        <v>0</v>
      </c>
      <c r="Y56" s="275">
        <f>X56/S56</f>
        <v>0</v>
      </c>
      <c r="Z56" s="274">
        <v>42224.843769999999</v>
      </c>
      <c r="AA56" s="274">
        <f>Z56-V56</f>
        <v>38999.999969999997</v>
      </c>
      <c r="AB56" s="274">
        <f>T56-V56</f>
        <v>0</v>
      </c>
      <c r="AC56" s="275">
        <f>AB56/S56</f>
        <v>0</v>
      </c>
      <c r="AD56" s="274">
        <v>0</v>
      </c>
      <c r="AE56" s="274">
        <v>0</v>
      </c>
      <c r="AF56" s="292">
        <f>AE56/S56</f>
        <v>0</v>
      </c>
      <c r="AG56" s="274">
        <v>0</v>
      </c>
      <c r="AH56" s="292">
        <f>AG56/S56</f>
        <v>0</v>
      </c>
      <c r="AI56" s="369">
        <f>U56-L56</f>
        <v>2.2911941254866987E-2</v>
      </c>
      <c r="AJ56" s="290">
        <v>46707</v>
      </c>
      <c r="AK56" s="272" t="s">
        <v>353</v>
      </c>
      <c r="AL56" s="328" t="s">
        <v>605</v>
      </c>
      <c r="AM56" s="328">
        <v>46694</v>
      </c>
      <c r="AN56" s="269">
        <v>150000</v>
      </c>
      <c r="AO56" s="299">
        <v>0</v>
      </c>
      <c r="AP56" s="299">
        <v>3224.8440000000001</v>
      </c>
      <c r="AQ56" s="299">
        <v>70000</v>
      </c>
      <c r="AR56" s="299">
        <v>76775.156000000003</v>
      </c>
      <c r="AS56" s="299">
        <v>0</v>
      </c>
      <c r="AT56" s="303">
        <v>0</v>
      </c>
      <c r="AU56" s="285">
        <v>0</v>
      </c>
      <c r="AV56" s="267">
        <f>AQ56-AD56</f>
        <v>70000</v>
      </c>
      <c r="AW56" s="331" t="s">
        <v>606</v>
      </c>
      <c r="AX56" s="284" t="s">
        <v>607</v>
      </c>
    </row>
    <row r="57" spans="1:50" ht="90" customHeight="1" x14ac:dyDescent="0.2">
      <c r="A57" s="364">
        <v>2028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63"/>
      <c r="AB57" s="363"/>
      <c r="AC57" s="363"/>
      <c r="AD57" s="363"/>
      <c r="AE57" s="363"/>
      <c r="AF57" s="363"/>
      <c r="AG57" s="363"/>
      <c r="AH57" s="363"/>
      <c r="AI57" s="363"/>
      <c r="AJ57" s="363"/>
      <c r="AK57" s="363"/>
      <c r="AL57" s="363"/>
      <c r="AM57" s="363"/>
      <c r="AN57" s="363"/>
      <c r="AO57" s="363"/>
      <c r="AP57" s="363"/>
      <c r="AQ57" s="363"/>
      <c r="AR57" s="363"/>
      <c r="AS57" s="363"/>
      <c r="AT57" s="363"/>
      <c r="AU57" s="363"/>
      <c r="AV57" s="362"/>
      <c r="AW57" s="284"/>
      <c r="AX57" s="284"/>
    </row>
    <row r="58" spans="1:50" s="348" customFormat="1" ht="170.1" customHeight="1" x14ac:dyDescent="0.85">
      <c r="A58" s="323"/>
      <c r="B58" s="323"/>
      <c r="C58" s="360"/>
      <c r="D58" s="359"/>
      <c r="E58" s="320"/>
      <c r="F58" s="356"/>
      <c r="G58" s="356"/>
      <c r="H58" s="356"/>
      <c r="I58" s="356"/>
      <c r="J58" s="315"/>
      <c r="K58" s="358"/>
      <c r="L58" s="358"/>
      <c r="M58" s="357"/>
      <c r="N58" s="357"/>
      <c r="O58" s="357"/>
      <c r="P58" s="356"/>
      <c r="Q58" s="356"/>
      <c r="R58" s="356"/>
      <c r="S58" s="351">
        <f>SUM(S59:S74)</f>
        <v>33524988.43798</v>
      </c>
      <c r="T58" s="351">
        <f>SUM(T59:T74)</f>
        <v>9195249.2974500004</v>
      </c>
      <c r="U58" s="354">
        <f>T58/S58</f>
        <v>0.27428046140749235</v>
      </c>
      <c r="V58" s="351">
        <f>SUM(V59:V74)</f>
        <v>8355030.6066400008</v>
      </c>
      <c r="W58" s="354">
        <f>V58/S58</f>
        <v>0.24921800113657014</v>
      </c>
      <c r="X58" s="351">
        <f>SUM(X59:X74)</f>
        <v>1270595.34473</v>
      </c>
      <c r="Y58" s="354">
        <f>X58/S58</f>
        <v>3.7899948782400175E-2</v>
      </c>
      <c r="Z58" s="351">
        <f>SUM(Z59:Z74)</f>
        <v>9137295.9294199999</v>
      </c>
      <c r="AA58" s="351">
        <f>Z58/S58</f>
        <v>0.27255179957253861</v>
      </c>
      <c r="AB58" s="351">
        <f>SUM(AB59:AB74)</f>
        <v>840218.69080999994</v>
      </c>
      <c r="AC58" s="354">
        <f>AB58/S58</f>
        <v>2.5062460270922203E-2</v>
      </c>
      <c r="AD58" s="351">
        <f>SUM(AD59:AD74)</f>
        <v>849809.25344</v>
      </c>
      <c r="AE58" s="351">
        <f>SUM(AE59:AE74)</f>
        <v>235138.34789</v>
      </c>
      <c r="AF58" s="354">
        <f>AE58/S58</f>
        <v>7.0138233850549217E-3</v>
      </c>
      <c r="AG58" s="351">
        <f>SUM(AG59:AG74)</f>
        <v>0</v>
      </c>
      <c r="AH58" s="354">
        <f>AG58/S58</f>
        <v>0</v>
      </c>
      <c r="AI58" s="354"/>
      <c r="AJ58" s="354"/>
      <c r="AK58" s="353"/>
      <c r="AL58" s="352"/>
      <c r="AM58" s="352"/>
      <c r="AN58" s="351">
        <f>SUM(AN59:AN74)</f>
        <v>50807701.140999995</v>
      </c>
      <c r="AO58" s="351">
        <f>SUM(AO59:AO74)</f>
        <v>5381742.0420000004</v>
      </c>
      <c r="AP58" s="351">
        <f>SUM(AP59:AP74)</f>
        <v>5105444.699</v>
      </c>
      <c r="AQ58" s="351">
        <f>SUM(AQ59:AQ74)</f>
        <v>5628451.6744122934</v>
      </c>
      <c r="AR58" s="351">
        <f>SUM(AR59:AR74)</f>
        <v>8935041.1429999992</v>
      </c>
      <c r="AS58" s="351">
        <f>SUM(AS59:AS74)</f>
        <v>20769141.702</v>
      </c>
      <c r="AT58" s="351">
        <f>SUM(AT59:AT74)</f>
        <v>4987879.8790000007</v>
      </c>
      <c r="AU58" s="351">
        <f>SUM(AU59:AU74)</f>
        <v>0</v>
      </c>
      <c r="AV58" s="350">
        <f>SUM(AV59:AV74)</f>
        <v>4778642.4209722932</v>
      </c>
      <c r="AW58" s="349"/>
      <c r="AX58" s="349"/>
    </row>
    <row r="59" spans="1:50" ht="249.95" customHeight="1" x14ac:dyDescent="0.2">
      <c r="A59" s="283">
        <v>40</v>
      </c>
      <c r="B59" s="283">
        <v>1</v>
      </c>
      <c r="C59" s="288" t="s">
        <v>346</v>
      </c>
      <c r="D59" s="300" t="s">
        <v>608</v>
      </c>
      <c r="E59" s="308" t="s">
        <v>609</v>
      </c>
      <c r="F59" s="296">
        <v>3.4411900000000002</v>
      </c>
      <c r="G59" s="307">
        <v>285</v>
      </c>
      <c r="H59" s="297">
        <v>45562</v>
      </c>
      <c r="I59" s="307" t="s">
        <v>610</v>
      </c>
      <c r="J59" s="306" t="s">
        <v>611</v>
      </c>
      <c r="K59" s="294">
        <v>0.08</v>
      </c>
      <c r="L59" s="294">
        <v>0.08</v>
      </c>
      <c r="M59" s="329">
        <f>L59-K59</f>
        <v>0</v>
      </c>
      <c r="N59" s="365">
        <v>48</v>
      </c>
      <c r="O59" s="365">
        <v>10</v>
      </c>
      <c r="P59" s="342" t="s">
        <v>612</v>
      </c>
      <c r="Q59" s="337"/>
      <c r="R59" s="275"/>
      <c r="S59" s="274">
        <v>6643557.7864100002</v>
      </c>
      <c r="T59" s="274">
        <v>1481093.5645900001</v>
      </c>
      <c r="U59" s="275">
        <f>T59/S59</f>
        <v>0.22293680768754826</v>
      </c>
      <c r="V59" s="274">
        <v>1481093.5645900001</v>
      </c>
      <c r="W59" s="275">
        <f>V59/S59</f>
        <v>0.22293680768754826</v>
      </c>
      <c r="X59" s="274">
        <v>0</v>
      </c>
      <c r="Y59" s="275">
        <f>X59/S59</f>
        <v>0</v>
      </c>
      <c r="Z59" s="274">
        <v>1481093.56657</v>
      </c>
      <c r="AA59" s="274">
        <f>Z59-V59</f>
        <v>1.9799999427050352E-3</v>
      </c>
      <c r="AB59" s="274">
        <f>T59-V59</f>
        <v>0</v>
      </c>
      <c r="AC59" s="275">
        <f>AB59/S59</f>
        <v>0</v>
      </c>
      <c r="AD59" s="274">
        <v>0</v>
      </c>
      <c r="AE59" s="274">
        <v>0</v>
      </c>
      <c r="AF59" s="292">
        <f>AE59/S59</f>
        <v>0</v>
      </c>
      <c r="AG59" s="274">
        <v>0</v>
      </c>
      <c r="AH59" s="292">
        <f>AG59/S59</f>
        <v>0</v>
      </c>
      <c r="AI59" s="373">
        <f>U59-L59</f>
        <v>0.14293680768754824</v>
      </c>
      <c r="AJ59" s="273">
        <v>47012</v>
      </c>
      <c r="AK59" s="289" t="s">
        <v>353</v>
      </c>
      <c r="AL59" s="337" t="s">
        <v>613</v>
      </c>
      <c r="AM59" s="327">
        <v>46843</v>
      </c>
      <c r="AN59" s="299">
        <v>7401314.7290000003</v>
      </c>
      <c r="AO59" s="299">
        <v>1481093.5650000002</v>
      </c>
      <c r="AP59" s="299">
        <v>478419.67</v>
      </c>
      <c r="AQ59" s="299">
        <v>428822.63899999997</v>
      </c>
      <c r="AR59" s="299">
        <v>498000</v>
      </c>
      <c r="AS59" s="299">
        <v>1975000</v>
      </c>
      <c r="AT59" s="303">
        <v>2539978.8550000004</v>
      </c>
      <c r="AU59" s="285">
        <v>0</v>
      </c>
      <c r="AV59" s="267">
        <f>AQ59-AD59</f>
        <v>428822.63899999997</v>
      </c>
      <c r="AW59" s="331" t="s">
        <v>614</v>
      </c>
      <c r="AX59" s="284" t="s">
        <v>615</v>
      </c>
    </row>
    <row r="60" spans="1:50" ht="249.95" customHeight="1" x14ac:dyDescent="0.2">
      <c r="A60" s="282">
        <v>41</v>
      </c>
      <c r="B60" s="282">
        <v>2</v>
      </c>
      <c r="C60" s="288" t="s">
        <v>346</v>
      </c>
      <c r="D60" s="300" t="s">
        <v>616</v>
      </c>
      <c r="E60" s="301" t="s">
        <v>92</v>
      </c>
      <c r="F60" s="296">
        <v>1.3</v>
      </c>
      <c r="G60" s="296"/>
      <c r="H60" s="297">
        <v>45575</v>
      </c>
      <c r="I60" s="296" t="s">
        <v>617</v>
      </c>
      <c r="J60" s="295" t="s">
        <v>611</v>
      </c>
      <c r="K60" s="374">
        <v>0.1</v>
      </c>
      <c r="L60" s="374">
        <v>0.16</v>
      </c>
      <c r="M60" s="329">
        <f>L60-K60</f>
        <v>0.06</v>
      </c>
      <c r="N60" s="365">
        <v>49</v>
      </c>
      <c r="O60" s="365">
        <v>15</v>
      </c>
      <c r="P60" s="342" t="s">
        <v>612</v>
      </c>
      <c r="Q60" s="337"/>
      <c r="R60" s="275"/>
      <c r="S60" s="274">
        <v>4760583.3492299998</v>
      </c>
      <c r="T60" s="274">
        <v>1787581.3345600001</v>
      </c>
      <c r="U60" s="275">
        <f>T60/S60</f>
        <v>0.37549627922156481</v>
      </c>
      <c r="V60" s="274">
        <v>1648452.80828</v>
      </c>
      <c r="W60" s="275">
        <f>V60/S60</f>
        <v>0.34627117883496966</v>
      </c>
      <c r="X60" s="274">
        <v>194307.05015</v>
      </c>
      <c r="Y60" s="275">
        <f>X60/S60</f>
        <v>4.0815806781626496E-2</v>
      </c>
      <c r="Z60" s="274">
        <v>1648452.80828</v>
      </c>
      <c r="AA60" s="274">
        <f>Z60-V60</f>
        <v>0</v>
      </c>
      <c r="AB60" s="274">
        <f>T60-V60</f>
        <v>139128.52628000011</v>
      </c>
      <c r="AC60" s="275">
        <f>AB60/S60</f>
        <v>2.9225100386595152E-2</v>
      </c>
      <c r="AD60" s="274">
        <v>0</v>
      </c>
      <c r="AE60" s="274">
        <v>0</v>
      </c>
      <c r="AF60" s="292">
        <f>AE60/S60</f>
        <v>0</v>
      </c>
      <c r="AG60" s="274">
        <v>0</v>
      </c>
      <c r="AH60" s="292">
        <f>AG60/S60</f>
        <v>0</v>
      </c>
      <c r="AI60" s="366">
        <f>U60-L60</f>
        <v>0.21549627922156481</v>
      </c>
      <c r="AJ60" s="273">
        <v>47011</v>
      </c>
      <c r="AK60" s="289" t="s">
        <v>353</v>
      </c>
      <c r="AL60" s="328" t="s">
        <v>618</v>
      </c>
      <c r="AM60" s="328">
        <v>47011</v>
      </c>
      <c r="AN60" s="286">
        <v>6200000</v>
      </c>
      <c r="AO60" s="286">
        <v>1648452.808</v>
      </c>
      <c r="AP60" s="269">
        <v>165065.20699999999</v>
      </c>
      <c r="AQ60" s="269">
        <v>287000.35100000002</v>
      </c>
      <c r="AR60" s="269">
        <v>93604.418000000005</v>
      </c>
      <c r="AS60" s="269">
        <v>2805878.216</v>
      </c>
      <c r="AT60" s="269">
        <v>1199999.0000000005</v>
      </c>
      <c r="AU60" s="268">
        <v>0</v>
      </c>
      <c r="AV60" s="267">
        <f>AQ60-AD60</f>
        <v>287000.35100000002</v>
      </c>
      <c r="AW60" s="331" t="s">
        <v>619</v>
      </c>
      <c r="AX60" s="284" t="s">
        <v>620</v>
      </c>
    </row>
    <row r="61" spans="1:50" ht="249.95" customHeight="1" x14ac:dyDescent="0.2">
      <c r="A61" s="283">
        <v>42</v>
      </c>
      <c r="B61" s="283">
        <v>3</v>
      </c>
      <c r="C61" s="271" t="s">
        <v>346</v>
      </c>
      <c r="D61" s="337" t="s">
        <v>375</v>
      </c>
      <c r="E61" s="368" t="s">
        <v>621</v>
      </c>
      <c r="F61" s="279">
        <v>0.8</v>
      </c>
      <c r="G61" s="279"/>
      <c r="H61" s="280">
        <v>45565</v>
      </c>
      <c r="I61" s="279" t="s">
        <v>622</v>
      </c>
      <c r="J61" s="278" t="s">
        <v>350</v>
      </c>
      <c r="K61" s="374">
        <v>0.1</v>
      </c>
      <c r="L61" s="374">
        <v>0.1</v>
      </c>
      <c r="M61" s="329">
        <f>L61-K61</f>
        <v>0</v>
      </c>
      <c r="N61" s="365">
        <v>10</v>
      </c>
      <c r="O61" s="365">
        <v>1</v>
      </c>
      <c r="P61" s="310">
        <v>46351</v>
      </c>
      <c r="Q61" s="310"/>
      <c r="R61" s="275"/>
      <c r="S61" s="274">
        <v>4567081.0913300002</v>
      </c>
      <c r="T61" s="274">
        <v>1297621.0365500001</v>
      </c>
      <c r="U61" s="275">
        <f>T61/S61</f>
        <v>0.28412480763990861</v>
      </c>
      <c r="V61" s="274">
        <v>1297621.0365500001</v>
      </c>
      <c r="W61" s="275">
        <f>V61/S61</f>
        <v>0.28412480763990861</v>
      </c>
      <c r="X61" s="274">
        <v>0</v>
      </c>
      <c r="Y61" s="275">
        <f>X61/S61</f>
        <v>0</v>
      </c>
      <c r="Z61" s="274">
        <v>1370124.32739</v>
      </c>
      <c r="AA61" s="274">
        <f>Z61-V61</f>
        <v>72503.290839999914</v>
      </c>
      <c r="AB61" s="274">
        <f>T61-V61</f>
        <v>0</v>
      </c>
      <c r="AC61" s="275">
        <f>AB61/S61</f>
        <v>0</v>
      </c>
      <c r="AD61" s="274">
        <v>0</v>
      </c>
      <c r="AE61" s="274">
        <v>0</v>
      </c>
      <c r="AF61" s="275">
        <f>AE61/S61</f>
        <v>0</v>
      </c>
      <c r="AG61" s="274">
        <v>0</v>
      </c>
      <c r="AH61" s="275">
        <f>AG61/S61</f>
        <v>0</v>
      </c>
      <c r="AI61" s="373">
        <f>U61-L61</f>
        <v>0.1841248076399086</v>
      </c>
      <c r="AJ61" s="273">
        <v>46955</v>
      </c>
      <c r="AK61" s="272" t="s">
        <v>353</v>
      </c>
      <c r="AL61" s="328" t="s">
        <v>623</v>
      </c>
      <c r="AM61" s="328">
        <v>46955</v>
      </c>
      <c r="AN61" s="269">
        <v>5880227.9550000001</v>
      </c>
      <c r="AO61" s="269">
        <v>37621.036999999997</v>
      </c>
      <c r="AP61" s="269">
        <v>1268357.7990000001</v>
      </c>
      <c r="AQ61" s="269">
        <v>443263.10699999996</v>
      </c>
      <c r="AR61" s="269">
        <v>1161839.8149999999</v>
      </c>
      <c r="AS61" s="269">
        <v>1721244.172</v>
      </c>
      <c r="AT61" s="269">
        <v>1247902.024</v>
      </c>
      <c r="AU61" s="268">
        <v>0</v>
      </c>
      <c r="AV61" s="267">
        <f>AQ61-AD61</f>
        <v>443263.10699999996</v>
      </c>
      <c r="AW61" s="376" t="s">
        <v>624</v>
      </c>
      <c r="AX61" s="266" t="s">
        <v>625</v>
      </c>
    </row>
    <row r="62" spans="1:50" ht="249.95" customHeight="1" x14ac:dyDescent="0.2">
      <c r="A62" s="283">
        <v>43</v>
      </c>
      <c r="B62" s="283">
        <v>4</v>
      </c>
      <c r="C62" s="288" t="s">
        <v>346</v>
      </c>
      <c r="D62" s="271" t="s">
        <v>521</v>
      </c>
      <c r="E62" s="281" t="s">
        <v>626</v>
      </c>
      <c r="F62" s="279">
        <v>3.4</v>
      </c>
      <c r="G62" s="279"/>
      <c r="H62" s="297"/>
      <c r="I62" s="279"/>
      <c r="J62" s="375" t="s">
        <v>627</v>
      </c>
      <c r="K62" s="330"/>
      <c r="L62" s="330"/>
      <c r="M62" s="329"/>
      <c r="N62" s="365"/>
      <c r="O62" s="365"/>
      <c r="P62" s="342" t="s">
        <v>628</v>
      </c>
      <c r="Q62" s="342" t="s">
        <v>351</v>
      </c>
      <c r="R62" s="275">
        <v>0.8</v>
      </c>
      <c r="S62" s="274"/>
      <c r="T62" s="274"/>
      <c r="U62" s="275"/>
      <c r="V62" s="274"/>
      <c r="W62" s="275"/>
      <c r="X62" s="274"/>
      <c r="Y62" s="275"/>
      <c r="Z62" s="274"/>
      <c r="AA62" s="274"/>
      <c r="AB62" s="274"/>
      <c r="AC62" s="275"/>
      <c r="AD62" s="274"/>
      <c r="AE62" s="274"/>
      <c r="AF62" s="292"/>
      <c r="AG62" s="274"/>
      <c r="AH62" s="292"/>
      <c r="AI62" s="292"/>
      <c r="AJ62" s="273"/>
      <c r="AK62" s="272" t="s">
        <v>353</v>
      </c>
      <c r="AL62" s="271" t="s">
        <v>629</v>
      </c>
      <c r="AM62" s="328">
        <v>46904</v>
      </c>
      <c r="AN62" s="286">
        <v>5622381.6310000001</v>
      </c>
      <c r="AO62" s="286">
        <v>653344.35100000002</v>
      </c>
      <c r="AP62" s="269">
        <v>208593.70499999999</v>
      </c>
      <c r="AQ62" s="269">
        <v>1316279.808412293</v>
      </c>
      <c r="AR62" s="269">
        <v>1419004.37</v>
      </c>
      <c r="AS62" s="269">
        <v>2025159.3970000001</v>
      </c>
      <c r="AT62" s="269">
        <v>0</v>
      </c>
      <c r="AU62" s="268">
        <v>0</v>
      </c>
      <c r="AV62" s="267">
        <f>AQ62-AD62</f>
        <v>1316279.808412293</v>
      </c>
      <c r="AW62" s="284"/>
      <c r="AX62" s="284"/>
    </row>
    <row r="63" spans="1:50" ht="249.95" customHeight="1" x14ac:dyDescent="0.2">
      <c r="A63" s="282">
        <v>44</v>
      </c>
      <c r="B63" s="282">
        <v>5</v>
      </c>
      <c r="C63" s="288" t="s">
        <v>346</v>
      </c>
      <c r="D63" s="300" t="s">
        <v>630</v>
      </c>
      <c r="E63" s="368" t="s">
        <v>631</v>
      </c>
      <c r="F63" s="296">
        <v>2.5</v>
      </c>
      <c r="G63" s="296"/>
      <c r="H63" s="297">
        <v>45594</v>
      </c>
      <c r="I63" s="296" t="s">
        <v>632</v>
      </c>
      <c r="J63" s="295" t="s">
        <v>633</v>
      </c>
      <c r="K63" s="330"/>
      <c r="L63" s="330"/>
      <c r="M63" s="329"/>
      <c r="N63" s="365"/>
      <c r="O63" s="365"/>
      <c r="P63" s="341">
        <v>46290</v>
      </c>
      <c r="Q63" s="328"/>
      <c r="R63" s="275"/>
      <c r="S63" s="274">
        <v>1909798.3368599999</v>
      </c>
      <c r="T63" s="274">
        <v>638651.90995</v>
      </c>
      <c r="U63" s="275">
        <f>T63/S63</f>
        <v>0.33440803545783859</v>
      </c>
      <c r="V63" s="274">
        <v>559828.48782000004</v>
      </c>
      <c r="W63" s="275">
        <f>V63/S63</f>
        <v>0.29313487032376601</v>
      </c>
      <c r="X63" s="274">
        <v>118651.90995</v>
      </c>
      <c r="Y63" s="275">
        <f>X63/S63</f>
        <v>6.2127978467654263E-2</v>
      </c>
      <c r="Z63" s="274">
        <v>572939.50106000004</v>
      </c>
      <c r="AA63" s="274">
        <f>Z63-V63</f>
        <v>13111.01324</v>
      </c>
      <c r="AB63" s="274">
        <f>T63-V63</f>
        <v>78823.422129999963</v>
      </c>
      <c r="AC63" s="275">
        <f>AB63/S63</f>
        <v>4.1273165134072587E-2</v>
      </c>
      <c r="AD63" s="274">
        <v>0</v>
      </c>
      <c r="AE63" s="274">
        <v>0</v>
      </c>
      <c r="AF63" s="292">
        <f>AE63/S63</f>
        <v>0</v>
      </c>
      <c r="AG63" s="274">
        <v>0</v>
      </c>
      <c r="AH63" s="292">
        <f>AG63/S63</f>
        <v>0</v>
      </c>
      <c r="AI63" s="366">
        <f>U63-L63</f>
        <v>0.33440803545783859</v>
      </c>
      <c r="AJ63" s="273">
        <v>47014</v>
      </c>
      <c r="AK63" s="289" t="s">
        <v>353</v>
      </c>
      <c r="AL63" s="328" t="s">
        <v>634</v>
      </c>
      <c r="AM63" s="287">
        <v>47014</v>
      </c>
      <c r="AN63" s="286">
        <v>3500000</v>
      </c>
      <c r="AO63" s="286">
        <v>39828.487999999998</v>
      </c>
      <c r="AP63" s="269">
        <v>661580.73599999992</v>
      </c>
      <c r="AQ63" s="269">
        <v>200000</v>
      </c>
      <c r="AR63" s="269">
        <v>100000</v>
      </c>
      <c r="AS63" s="269">
        <v>2498590.7760000001</v>
      </c>
      <c r="AT63" s="269">
        <v>0</v>
      </c>
      <c r="AU63" s="268">
        <v>0</v>
      </c>
      <c r="AV63" s="267">
        <f>AQ63-AD63</f>
        <v>200000</v>
      </c>
      <c r="AW63" s="331" t="s">
        <v>635</v>
      </c>
      <c r="AX63" s="284" t="s">
        <v>636</v>
      </c>
    </row>
    <row r="64" spans="1:50" ht="354.75" customHeight="1" x14ac:dyDescent="0.2">
      <c r="A64" s="283">
        <v>45</v>
      </c>
      <c r="B64" s="283">
        <v>6</v>
      </c>
      <c r="C64" s="288" t="s">
        <v>346</v>
      </c>
      <c r="D64" s="300" t="s">
        <v>396</v>
      </c>
      <c r="E64" s="336" t="s">
        <v>637</v>
      </c>
      <c r="F64" s="307">
        <v>1.1000000000000001</v>
      </c>
      <c r="G64" s="307"/>
      <c r="H64" s="297">
        <v>45593</v>
      </c>
      <c r="I64" s="307" t="s">
        <v>638</v>
      </c>
      <c r="J64" s="306" t="s">
        <v>611</v>
      </c>
      <c r="K64" s="294">
        <v>0.25</v>
      </c>
      <c r="L64" s="374">
        <v>0.31</v>
      </c>
      <c r="M64" s="329">
        <f>L64-K64</f>
        <v>0.06</v>
      </c>
      <c r="N64" s="365">
        <v>61</v>
      </c>
      <c r="O64" s="365">
        <v>8</v>
      </c>
      <c r="P64" s="342" t="s">
        <v>639</v>
      </c>
      <c r="Q64" s="367" t="s">
        <v>640</v>
      </c>
      <c r="R64" s="275">
        <v>0.23</v>
      </c>
      <c r="S64" s="274">
        <v>2130462.2796200002</v>
      </c>
      <c r="T64" s="274">
        <v>990726.84577999997</v>
      </c>
      <c r="U64" s="275">
        <f>T64/S64</f>
        <v>0.46502904804149403</v>
      </c>
      <c r="V64" s="274">
        <v>914599.01586000004</v>
      </c>
      <c r="W64" s="275">
        <f>V64/S64</f>
        <v>0.42929603805195388</v>
      </c>
      <c r="X64" s="274">
        <v>113393.99378</v>
      </c>
      <c r="Y64" s="275">
        <f>X64/S64</f>
        <v>5.3225065219284481E-2</v>
      </c>
      <c r="Z64" s="274">
        <v>914599.01586000004</v>
      </c>
      <c r="AA64" s="274">
        <f>Z64-V64</f>
        <v>0</v>
      </c>
      <c r="AB64" s="274">
        <f>T64-V64</f>
        <v>76127.829919999931</v>
      </c>
      <c r="AC64" s="275">
        <f>AB64/S64</f>
        <v>3.573300998954014E-2</v>
      </c>
      <c r="AD64" s="274">
        <v>0</v>
      </c>
      <c r="AE64" s="274">
        <v>0</v>
      </c>
      <c r="AF64" s="292">
        <f>AE64/S64</f>
        <v>0</v>
      </c>
      <c r="AG64" s="274">
        <v>0</v>
      </c>
      <c r="AH64" s="292">
        <f>AG64/S64</f>
        <v>0</v>
      </c>
      <c r="AI64" s="373">
        <f>U64-L64</f>
        <v>0.15502904804149403</v>
      </c>
      <c r="AJ64" s="273">
        <v>46889</v>
      </c>
      <c r="AK64" s="289" t="s">
        <v>353</v>
      </c>
      <c r="AL64" s="337" t="s">
        <v>641</v>
      </c>
      <c r="AM64" s="328">
        <v>46889</v>
      </c>
      <c r="AN64" s="299">
        <v>3500000</v>
      </c>
      <c r="AO64" s="299">
        <v>914599.01599999995</v>
      </c>
      <c r="AP64" s="299">
        <v>217253.87100000001</v>
      </c>
      <c r="AQ64" s="299">
        <v>346000</v>
      </c>
      <c r="AR64" s="299">
        <v>180000</v>
      </c>
      <c r="AS64" s="299">
        <v>1842147.1129999999</v>
      </c>
      <c r="AT64" s="303">
        <v>0</v>
      </c>
      <c r="AU64" s="285">
        <v>0</v>
      </c>
      <c r="AV64" s="267">
        <f>AQ64-AD64</f>
        <v>346000</v>
      </c>
      <c r="AW64" s="331" t="s">
        <v>642</v>
      </c>
      <c r="AX64" s="284" t="s">
        <v>643</v>
      </c>
    </row>
    <row r="65" spans="1:50" ht="407.25" customHeight="1" x14ac:dyDescent="0.2">
      <c r="A65" s="283">
        <v>46</v>
      </c>
      <c r="B65" s="283">
        <v>7</v>
      </c>
      <c r="C65" s="288" t="s">
        <v>346</v>
      </c>
      <c r="D65" s="271" t="s">
        <v>424</v>
      </c>
      <c r="E65" s="281" t="s">
        <v>644</v>
      </c>
      <c r="F65" s="279">
        <v>1.5068999999999999</v>
      </c>
      <c r="G65" s="279"/>
      <c r="H65" s="280">
        <v>45651</v>
      </c>
      <c r="I65" s="279" t="s">
        <v>645</v>
      </c>
      <c r="J65" s="278" t="s">
        <v>435</v>
      </c>
      <c r="K65" s="294">
        <v>0.24</v>
      </c>
      <c r="L65" s="294">
        <v>0.26</v>
      </c>
      <c r="M65" s="329">
        <f>L65-K65</f>
        <v>2.0000000000000018E-2</v>
      </c>
      <c r="N65" s="365">
        <v>48</v>
      </c>
      <c r="O65" s="365">
        <v>10</v>
      </c>
      <c r="P65" s="340">
        <v>45182</v>
      </c>
      <c r="Q65" s="340" t="s">
        <v>351</v>
      </c>
      <c r="R65" s="275">
        <v>0.9</v>
      </c>
      <c r="S65" s="274">
        <v>2544160.4118300001</v>
      </c>
      <c r="T65" s="274">
        <v>763248.12355000002</v>
      </c>
      <c r="U65" s="275">
        <f>T65/S65</f>
        <v>0.30000000000039306</v>
      </c>
      <c r="V65" s="274">
        <v>763248.12355000002</v>
      </c>
      <c r="W65" s="275">
        <f>V65/S65</f>
        <v>0.30000000000039306</v>
      </c>
      <c r="X65" s="274">
        <v>162293.80119</v>
      </c>
      <c r="Y65" s="275">
        <f>X65/S65</f>
        <v>6.3790710851153828E-2</v>
      </c>
      <c r="Z65" s="274">
        <v>763248.12355000002</v>
      </c>
      <c r="AA65" s="274">
        <f>Z65-V65</f>
        <v>0</v>
      </c>
      <c r="AB65" s="274">
        <f>T65-V65</f>
        <v>0</v>
      </c>
      <c r="AC65" s="275">
        <f>AB65/S65</f>
        <v>0</v>
      </c>
      <c r="AD65" s="274">
        <v>283248.12355000002</v>
      </c>
      <c r="AE65" s="274">
        <v>0</v>
      </c>
      <c r="AF65" s="292">
        <f>AE65/S65</f>
        <v>0</v>
      </c>
      <c r="AG65" s="274">
        <v>0</v>
      </c>
      <c r="AH65" s="292">
        <f>AG65/S65</f>
        <v>0</v>
      </c>
      <c r="AI65" s="369">
        <f>U65-L65</f>
        <v>4.0000000000393054E-2</v>
      </c>
      <c r="AJ65" s="290">
        <v>46389</v>
      </c>
      <c r="AK65" s="272" t="s">
        <v>353</v>
      </c>
      <c r="AL65" s="271" t="s">
        <v>646</v>
      </c>
      <c r="AM65" s="328">
        <v>47087</v>
      </c>
      <c r="AN65" s="286">
        <v>3421635.4389999998</v>
      </c>
      <c r="AO65" s="286">
        <v>66705.615999999995</v>
      </c>
      <c r="AP65" s="269">
        <v>839614.97</v>
      </c>
      <c r="AQ65" s="269">
        <v>489000</v>
      </c>
      <c r="AR65" s="269">
        <v>88000</v>
      </c>
      <c r="AS65" s="269">
        <v>1938314.8530000001</v>
      </c>
      <c r="AT65" s="269">
        <v>0</v>
      </c>
      <c r="AU65" s="268">
        <v>0</v>
      </c>
      <c r="AV65" s="267">
        <f>AQ65-AD65</f>
        <v>205751.87644999998</v>
      </c>
      <c r="AW65" s="331" t="s">
        <v>647</v>
      </c>
      <c r="AX65" s="284" t="s">
        <v>648</v>
      </c>
    </row>
    <row r="66" spans="1:50" ht="249.95" customHeight="1" x14ac:dyDescent="0.2">
      <c r="A66" s="282">
        <v>47</v>
      </c>
      <c r="B66" s="282">
        <v>8</v>
      </c>
      <c r="C66" s="271"/>
      <c r="D66" s="271" t="s">
        <v>447</v>
      </c>
      <c r="E66" s="281" t="s">
        <v>649</v>
      </c>
      <c r="F66" s="279"/>
      <c r="G66" s="279"/>
      <c r="H66" s="280">
        <v>45972</v>
      </c>
      <c r="I66" s="279" t="s">
        <v>650</v>
      </c>
      <c r="J66" s="278" t="s">
        <v>360</v>
      </c>
      <c r="K66" s="330"/>
      <c r="L66" s="330"/>
      <c r="M66" s="329"/>
      <c r="N66" s="365"/>
      <c r="O66" s="365"/>
      <c r="P66" s="328"/>
      <c r="Q66" s="328"/>
      <c r="R66" s="275"/>
      <c r="S66" s="274">
        <v>2470626.8841300001</v>
      </c>
      <c r="T66" s="274">
        <v>31888.61</v>
      </c>
      <c r="U66" s="275">
        <f>T66/S66</f>
        <v>1.2907092610719796E-2</v>
      </c>
      <c r="V66" s="274">
        <v>31888.61</v>
      </c>
      <c r="W66" s="275">
        <f>V66/S66</f>
        <v>1.2907092610719796E-2</v>
      </c>
      <c r="X66" s="274">
        <v>0</v>
      </c>
      <c r="Y66" s="275">
        <f>X66/S66</f>
        <v>0</v>
      </c>
      <c r="Z66" s="274"/>
      <c r="AA66" s="274"/>
      <c r="AB66" s="274"/>
      <c r="AC66" s="275"/>
      <c r="AD66" s="274">
        <v>0</v>
      </c>
      <c r="AE66" s="274"/>
      <c r="AF66" s="275"/>
      <c r="AG66" s="274"/>
      <c r="AH66" s="275"/>
      <c r="AI66" s="369">
        <f>U66-L66</f>
        <v>1.2907092610719796E-2</v>
      </c>
      <c r="AJ66" s="273"/>
      <c r="AK66" s="272"/>
      <c r="AL66" s="271" t="s">
        <v>651</v>
      </c>
      <c r="AM66" s="328">
        <v>47114</v>
      </c>
      <c r="AN66" s="269">
        <v>3338953.14</v>
      </c>
      <c r="AO66" s="269">
        <v>0</v>
      </c>
      <c r="AP66" s="269">
        <v>31888.61</v>
      </c>
      <c r="AQ66" s="269">
        <v>380829.04399999999</v>
      </c>
      <c r="AR66" s="269">
        <v>2255599.7400000002</v>
      </c>
      <c r="AS66" s="269">
        <v>670635.74599999969</v>
      </c>
      <c r="AT66" s="269">
        <v>0</v>
      </c>
      <c r="AU66" s="268">
        <v>0</v>
      </c>
      <c r="AV66" s="267">
        <f>AQ66-AD66</f>
        <v>380829.04399999999</v>
      </c>
      <c r="AW66" s="331" t="s">
        <v>652</v>
      </c>
      <c r="AX66" s="266" t="s">
        <v>653</v>
      </c>
    </row>
    <row r="67" spans="1:50" ht="249.95" customHeight="1" x14ac:dyDescent="0.2">
      <c r="A67" s="283">
        <v>48</v>
      </c>
      <c r="B67" s="283">
        <v>9</v>
      </c>
      <c r="C67" s="271"/>
      <c r="D67" s="271" t="s">
        <v>483</v>
      </c>
      <c r="E67" s="281" t="s">
        <v>654</v>
      </c>
      <c r="F67" s="279"/>
      <c r="G67" s="279"/>
      <c r="H67" s="280">
        <v>45950</v>
      </c>
      <c r="I67" s="279" t="s">
        <v>655</v>
      </c>
      <c r="J67" s="278" t="s">
        <v>656</v>
      </c>
      <c r="K67" s="330"/>
      <c r="L67" s="330"/>
      <c r="M67" s="329"/>
      <c r="N67" s="365"/>
      <c r="O67" s="365"/>
      <c r="P67" s="328"/>
      <c r="Q67" s="328"/>
      <c r="R67" s="275"/>
      <c r="S67" s="274">
        <v>2165750.9</v>
      </c>
      <c r="T67" s="274">
        <v>216575.08915000001</v>
      </c>
      <c r="U67" s="275">
        <f>T67/S67</f>
        <v>9.9999999607526438E-2</v>
      </c>
      <c r="V67" s="274">
        <v>216575.08915000001</v>
      </c>
      <c r="W67" s="275">
        <f>V67/S67</f>
        <v>9.9999999607526438E-2</v>
      </c>
      <c r="X67" s="274">
        <v>0</v>
      </c>
      <c r="Y67" s="275">
        <f>X67/S67</f>
        <v>0</v>
      </c>
      <c r="Z67" s="274"/>
      <c r="AA67" s="274"/>
      <c r="AB67" s="274">
        <f>T67-V67</f>
        <v>0</v>
      </c>
      <c r="AC67" s="275">
        <f>AB67/S67</f>
        <v>0</v>
      </c>
      <c r="AD67" s="274">
        <f>193659.43901+12763.34299</f>
        <v>206422.78200000001</v>
      </c>
      <c r="AE67" s="274"/>
      <c r="AF67" s="275"/>
      <c r="AG67" s="274"/>
      <c r="AH67" s="275"/>
      <c r="AI67" s="369">
        <f>U67-L67</f>
        <v>9.9999999607526438E-2</v>
      </c>
      <c r="AJ67" s="273"/>
      <c r="AK67" s="272"/>
      <c r="AL67" s="271" t="s">
        <v>651</v>
      </c>
      <c r="AM67" s="328">
        <v>47114</v>
      </c>
      <c r="AN67" s="269">
        <v>3053460.55</v>
      </c>
      <c r="AO67" s="269">
        <v>0</v>
      </c>
      <c r="AP67" s="269">
        <v>10152.307000000001</v>
      </c>
      <c r="AQ67" s="269">
        <v>308312.73499999999</v>
      </c>
      <c r="AR67" s="269">
        <v>2058992.8</v>
      </c>
      <c r="AS67" s="269">
        <v>676002.70799999987</v>
      </c>
      <c r="AT67" s="269">
        <v>0</v>
      </c>
      <c r="AU67" s="268">
        <v>0</v>
      </c>
      <c r="AV67" s="267">
        <f>AQ67-AD67</f>
        <v>101889.95299999998</v>
      </c>
      <c r="AW67" s="331" t="s">
        <v>657</v>
      </c>
      <c r="AX67" s="266" t="s">
        <v>658</v>
      </c>
    </row>
    <row r="68" spans="1:50" ht="249.95" customHeight="1" x14ac:dyDescent="0.2">
      <c r="A68" s="283">
        <v>49</v>
      </c>
      <c r="B68" s="283">
        <v>10</v>
      </c>
      <c r="C68" s="288" t="s">
        <v>346</v>
      </c>
      <c r="D68" s="288" t="s">
        <v>555</v>
      </c>
      <c r="E68" s="281" t="s">
        <v>659</v>
      </c>
      <c r="F68" s="296">
        <v>1.8051900000000001</v>
      </c>
      <c r="G68" s="296"/>
      <c r="H68" s="297">
        <v>44760</v>
      </c>
      <c r="I68" s="296" t="s">
        <v>660</v>
      </c>
      <c r="J68" s="295" t="s">
        <v>661</v>
      </c>
      <c r="K68" s="294">
        <v>0.62</v>
      </c>
      <c r="L68" s="294">
        <v>0.62</v>
      </c>
      <c r="M68" s="329">
        <f>L68-K68</f>
        <v>0</v>
      </c>
      <c r="N68" s="365">
        <v>3</v>
      </c>
      <c r="O68" s="365">
        <v>1</v>
      </c>
      <c r="P68" s="340">
        <v>44995</v>
      </c>
      <c r="Q68" s="340" t="s">
        <v>351</v>
      </c>
      <c r="R68" s="275">
        <v>1</v>
      </c>
      <c r="S68" s="274">
        <v>2096949.5810100001</v>
      </c>
      <c r="T68" s="274">
        <v>1559124.2871099999</v>
      </c>
      <c r="U68" s="275">
        <f>T68/S68</f>
        <v>0.74352015958297124</v>
      </c>
      <c r="V68" s="274">
        <v>1012985.37463</v>
      </c>
      <c r="W68" s="275">
        <f>V68/S68</f>
        <v>0.48307569423872054</v>
      </c>
      <c r="X68" s="274">
        <v>681948.58966000006</v>
      </c>
      <c r="Y68" s="275">
        <f>X68/S68</f>
        <v>0.32520981707702201</v>
      </c>
      <c r="Z68" s="274">
        <v>1012985.37463</v>
      </c>
      <c r="AA68" s="274">
        <f>Z68-V68</f>
        <v>0</v>
      </c>
      <c r="AB68" s="274">
        <f>T68-V68</f>
        <v>546138.91247999994</v>
      </c>
      <c r="AC68" s="275">
        <f>AB68/S68</f>
        <v>0.2604444653442507</v>
      </c>
      <c r="AD68" s="274">
        <v>0</v>
      </c>
      <c r="AE68" s="274">
        <v>0</v>
      </c>
      <c r="AF68" s="292">
        <f>AE68/S68</f>
        <v>0</v>
      </c>
      <c r="AG68" s="274">
        <v>0</v>
      </c>
      <c r="AH68" s="292">
        <f>AG68/S68</f>
        <v>0</v>
      </c>
      <c r="AI68" s="373">
        <f>U68-L68</f>
        <v>0.12352015958297125</v>
      </c>
      <c r="AJ68" s="290">
        <v>46418</v>
      </c>
      <c r="AK68" s="289" t="s">
        <v>662</v>
      </c>
      <c r="AL68" s="271" t="s">
        <v>559</v>
      </c>
      <c r="AM68" s="328">
        <v>46934</v>
      </c>
      <c r="AN68" s="286">
        <v>2409013.3969999999</v>
      </c>
      <c r="AO68" s="286">
        <v>526129.03899999999</v>
      </c>
      <c r="AP68" s="269">
        <v>1160436.2879999999</v>
      </c>
      <c r="AQ68" s="269">
        <v>300000</v>
      </c>
      <c r="AR68" s="269">
        <v>100000</v>
      </c>
      <c r="AS68" s="269">
        <v>322448.06899999967</v>
      </c>
      <c r="AT68" s="269">
        <v>0</v>
      </c>
      <c r="AU68" s="268">
        <v>0</v>
      </c>
      <c r="AV68" s="267">
        <f>AQ68-AD68</f>
        <v>300000</v>
      </c>
      <c r="AW68" s="331" t="s">
        <v>663</v>
      </c>
      <c r="AX68" s="284" t="s">
        <v>664</v>
      </c>
    </row>
    <row r="69" spans="1:50" ht="249.95" customHeight="1" x14ac:dyDescent="0.2">
      <c r="A69" s="282">
        <v>50</v>
      </c>
      <c r="B69" s="282">
        <v>11</v>
      </c>
      <c r="C69" s="288" t="s">
        <v>346</v>
      </c>
      <c r="D69" s="300" t="s">
        <v>665</v>
      </c>
      <c r="E69" s="308" t="s">
        <v>666</v>
      </c>
      <c r="F69" s="307">
        <v>1.6</v>
      </c>
      <c r="G69" s="307"/>
      <c r="H69" s="297">
        <v>45944</v>
      </c>
      <c r="I69" s="307" t="s">
        <v>667</v>
      </c>
      <c r="J69" s="306" t="s">
        <v>454</v>
      </c>
      <c r="K69" s="330"/>
      <c r="L69" s="330"/>
      <c r="M69" s="329"/>
      <c r="N69" s="365"/>
      <c r="O69" s="365"/>
      <c r="P69" s="346">
        <v>46352</v>
      </c>
      <c r="Q69" s="345"/>
      <c r="R69" s="275"/>
      <c r="S69" s="291">
        <v>1414078.9513999999</v>
      </c>
      <c r="T69" s="291">
        <v>68260.738469999997</v>
      </c>
      <c r="U69" s="292">
        <f>T69/S69</f>
        <v>4.8272225820502376E-2</v>
      </c>
      <c r="V69" s="291">
        <v>68260.738469999997</v>
      </c>
      <c r="W69" s="292">
        <f>V69/S69</f>
        <v>4.8272225820502376E-2</v>
      </c>
      <c r="X69" s="291">
        <v>0</v>
      </c>
      <c r="Y69" s="292">
        <f>X69/S69</f>
        <v>0</v>
      </c>
      <c r="Z69" s="291">
        <v>424223.68541999999</v>
      </c>
      <c r="AA69" s="291">
        <f>Z69-V69</f>
        <v>355962.94695000001</v>
      </c>
      <c r="AB69" s="274">
        <f>T69-V69</f>
        <v>0</v>
      </c>
      <c r="AC69" s="275">
        <f>AB69/S69</f>
        <v>0</v>
      </c>
      <c r="AD69" s="291">
        <f>9022.10999+50977.89001</f>
        <v>60000</v>
      </c>
      <c r="AE69" s="291">
        <v>0</v>
      </c>
      <c r="AF69" s="292">
        <f>AE69/S69</f>
        <v>0</v>
      </c>
      <c r="AG69" s="291">
        <v>0</v>
      </c>
      <c r="AH69" s="292">
        <f>AG69/S69</f>
        <v>0</v>
      </c>
      <c r="AI69" s="369">
        <f>U69-L69</f>
        <v>4.8272225820502376E-2</v>
      </c>
      <c r="AJ69" s="290">
        <v>47078</v>
      </c>
      <c r="AK69" s="289" t="s">
        <v>353</v>
      </c>
      <c r="AL69" s="337" t="s">
        <v>668</v>
      </c>
      <c r="AM69" s="328">
        <v>47114</v>
      </c>
      <c r="AN69" s="303">
        <v>1500000</v>
      </c>
      <c r="AO69" s="303">
        <v>0</v>
      </c>
      <c r="AP69" s="299">
        <v>8260.7379999999994</v>
      </c>
      <c r="AQ69" s="299">
        <v>111739.262</v>
      </c>
      <c r="AR69" s="299">
        <v>100000</v>
      </c>
      <c r="AS69" s="299">
        <v>1280000</v>
      </c>
      <c r="AT69" s="299">
        <v>0</v>
      </c>
      <c r="AU69" s="268">
        <v>0</v>
      </c>
      <c r="AV69" s="267">
        <f>AQ69-AD69</f>
        <v>51739.262000000002</v>
      </c>
      <c r="AW69" s="331" t="s">
        <v>669</v>
      </c>
      <c r="AX69" s="284" t="s">
        <v>670</v>
      </c>
    </row>
    <row r="70" spans="1:50" ht="306" customHeight="1" x14ac:dyDescent="0.2">
      <c r="A70" s="283">
        <v>51</v>
      </c>
      <c r="B70" s="283">
        <v>12</v>
      </c>
      <c r="C70" s="288" t="s">
        <v>346</v>
      </c>
      <c r="D70" s="288" t="s">
        <v>521</v>
      </c>
      <c r="E70" s="298" t="s">
        <v>671</v>
      </c>
      <c r="F70" s="296">
        <v>1.85</v>
      </c>
      <c r="G70" s="296"/>
      <c r="H70" s="297">
        <v>45561</v>
      </c>
      <c r="I70" s="296" t="s">
        <v>672</v>
      </c>
      <c r="J70" s="295" t="s">
        <v>360</v>
      </c>
      <c r="K70" s="330"/>
      <c r="L70" s="330"/>
      <c r="M70" s="329"/>
      <c r="N70" s="365"/>
      <c r="O70" s="365"/>
      <c r="P70" s="341">
        <v>46143</v>
      </c>
      <c r="Q70" s="328"/>
      <c r="R70" s="275"/>
      <c r="S70" s="274">
        <v>1033849.19596</v>
      </c>
      <c r="T70" s="274">
        <v>13968.12182</v>
      </c>
      <c r="U70" s="275">
        <f>T70/S70</f>
        <v>1.3510792361771525E-2</v>
      </c>
      <c r="V70" s="274">
        <v>13968.12182</v>
      </c>
      <c r="W70" s="275">
        <f>V70/S70</f>
        <v>1.3510792361771525E-2</v>
      </c>
      <c r="X70" s="274">
        <v>0</v>
      </c>
      <c r="Y70" s="275">
        <f>X70/S70</f>
        <v>0</v>
      </c>
      <c r="Z70" s="274">
        <v>310154.75878999999</v>
      </c>
      <c r="AA70" s="274">
        <f>Z70-V70</f>
        <v>296186.63696999999</v>
      </c>
      <c r="AB70" s="274">
        <f>T70-V70</f>
        <v>0</v>
      </c>
      <c r="AC70" s="275">
        <f>AB70/S70</f>
        <v>0</v>
      </c>
      <c r="AD70" s="274">
        <v>0</v>
      </c>
      <c r="AE70" s="274">
        <v>0</v>
      </c>
      <c r="AF70" s="292">
        <f>AE70/S70</f>
        <v>0</v>
      </c>
      <c r="AG70" s="274">
        <v>0</v>
      </c>
      <c r="AH70" s="292">
        <f>AG70/U70</f>
        <v>0</v>
      </c>
      <c r="AI70" s="369">
        <f>U70-L70</f>
        <v>1.3510792361771525E-2</v>
      </c>
      <c r="AJ70" s="273">
        <v>46831</v>
      </c>
      <c r="AK70" s="289" t="s">
        <v>353</v>
      </c>
      <c r="AL70" s="271" t="s">
        <v>673</v>
      </c>
      <c r="AM70" s="328">
        <v>46831</v>
      </c>
      <c r="AN70" s="269">
        <v>1400000</v>
      </c>
      <c r="AO70" s="269">
        <v>13968.121999999999</v>
      </c>
      <c r="AP70" s="269">
        <v>0</v>
      </c>
      <c r="AQ70" s="269">
        <v>137592.285</v>
      </c>
      <c r="AR70" s="269">
        <v>78000</v>
      </c>
      <c r="AS70" s="269">
        <v>1170439.5930000001</v>
      </c>
      <c r="AT70" s="286">
        <v>0</v>
      </c>
      <c r="AU70" s="285">
        <v>0</v>
      </c>
      <c r="AV70" s="267">
        <f>AQ70-AD70</f>
        <v>137592.285</v>
      </c>
      <c r="AW70" s="331" t="s">
        <v>674</v>
      </c>
      <c r="AX70" s="284" t="s">
        <v>675</v>
      </c>
    </row>
    <row r="71" spans="1:50" ht="347.25" customHeight="1" x14ac:dyDescent="0.2">
      <c r="A71" s="283">
        <v>52</v>
      </c>
      <c r="B71" s="283">
        <v>13</v>
      </c>
      <c r="C71" s="288" t="s">
        <v>346</v>
      </c>
      <c r="D71" s="337" t="s">
        <v>439</v>
      </c>
      <c r="E71" s="336" t="s">
        <v>676</v>
      </c>
      <c r="F71" s="335">
        <v>0.5</v>
      </c>
      <c r="G71" s="335"/>
      <c r="H71" s="297"/>
      <c r="I71" s="335"/>
      <c r="J71" s="334"/>
      <c r="K71" s="330"/>
      <c r="L71" s="330"/>
      <c r="M71" s="329"/>
      <c r="N71" s="365"/>
      <c r="O71" s="365"/>
      <c r="P71" s="275"/>
      <c r="Q71" s="275"/>
      <c r="R71" s="275"/>
      <c r="S71" s="274"/>
      <c r="T71" s="274"/>
      <c r="U71" s="275"/>
      <c r="V71" s="274"/>
      <c r="W71" s="275"/>
      <c r="X71" s="274"/>
      <c r="Y71" s="275"/>
      <c r="Z71" s="274"/>
      <c r="AA71" s="274"/>
      <c r="AB71" s="274"/>
      <c r="AC71" s="275"/>
      <c r="AD71" s="274"/>
      <c r="AE71" s="274"/>
      <c r="AF71" s="274"/>
      <c r="AG71" s="274"/>
      <c r="AH71" s="274"/>
      <c r="AI71" s="292"/>
      <c r="AJ71" s="273"/>
      <c r="AK71" s="272" t="s">
        <v>353</v>
      </c>
      <c r="AL71" s="328" t="s">
        <v>677</v>
      </c>
      <c r="AM71" s="327">
        <v>47087</v>
      </c>
      <c r="AN71" s="299">
        <v>1100000</v>
      </c>
      <c r="AO71" s="303">
        <v>0</v>
      </c>
      <c r="AP71" s="299">
        <v>0</v>
      </c>
      <c r="AQ71" s="299">
        <v>40000</v>
      </c>
      <c r="AR71" s="299">
        <v>100000</v>
      </c>
      <c r="AS71" s="299">
        <v>960000</v>
      </c>
      <c r="AT71" s="299">
        <v>0</v>
      </c>
      <c r="AU71" s="268">
        <v>0</v>
      </c>
      <c r="AV71" s="267">
        <f>AQ71-AD71</f>
        <v>40000</v>
      </c>
      <c r="AW71" s="284"/>
      <c r="AX71" s="284"/>
    </row>
    <row r="72" spans="1:50" ht="249.95" customHeight="1" x14ac:dyDescent="0.2">
      <c r="A72" s="282">
        <v>53</v>
      </c>
      <c r="B72" s="282">
        <v>14</v>
      </c>
      <c r="C72" s="288" t="s">
        <v>346</v>
      </c>
      <c r="D72" s="300" t="s">
        <v>367</v>
      </c>
      <c r="E72" s="308" t="s">
        <v>187</v>
      </c>
      <c r="F72" s="307">
        <v>3.89</v>
      </c>
      <c r="G72" s="307"/>
      <c r="H72" s="297">
        <v>45764</v>
      </c>
      <c r="I72" s="307" t="s">
        <v>678</v>
      </c>
      <c r="J72" s="306" t="s">
        <v>515</v>
      </c>
      <c r="K72" s="330"/>
      <c r="L72" s="330"/>
      <c r="M72" s="329"/>
      <c r="N72" s="365"/>
      <c r="O72" s="365"/>
      <c r="P72" s="332">
        <v>46381</v>
      </c>
      <c r="Q72" s="310"/>
      <c r="R72" s="275"/>
      <c r="S72" s="274">
        <v>515239.33399000001</v>
      </c>
      <c r="T72" s="274">
        <v>37175.501790000002</v>
      </c>
      <c r="U72" s="275">
        <f>T72/S72</f>
        <v>7.2151909486633872E-2</v>
      </c>
      <c r="V72" s="274">
        <v>37175.501790000002</v>
      </c>
      <c r="W72" s="275">
        <f>V72/S72</f>
        <v>7.2151909486633872E-2</v>
      </c>
      <c r="X72" s="274">
        <v>0</v>
      </c>
      <c r="Y72" s="275">
        <f>X72/S72</f>
        <v>0</v>
      </c>
      <c r="Z72" s="274">
        <v>257619.66699999999</v>
      </c>
      <c r="AA72" s="274">
        <f>Z72-V72</f>
        <v>220444.16520999998</v>
      </c>
      <c r="AB72" s="274">
        <f>T72-V72</f>
        <v>0</v>
      </c>
      <c r="AC72" s="275">
        <f>AB72/S72</f>
        <v>0</v>
      </c>
      <c r="AD72" s="274">
        <v>0</v>
      </c>
      <c r="AE72" s="274">
        <v>0</v>
      </c>
      <c r="AF72" s="292">
        <f>AE72/S72</f>
        <v>0</v>
      </c>
      <c r="AG72" s="274">
        <v>0</v>
      </c>
      <c r="AH72" s="292">
        <f>AG72/S72</f>
        <v>0</v>
      </c>
      <c r="AI72" s="369">
        <f>U72-L72</f>
        <v>7.2151909486633872E-2</v>
      </c>
      <c r="AJ72" s="273">
        <v>46783</v>
      </c>
      <c r="AK72" s="289" t="s">
        <v>353</v>
      </c>
      <c r="AL72" s="337" t="s">
        <v>679</v>
      </c>
      <c r="AM72" s="327">
        <v>46920</v>
      </c>
      <c r="AN72" s="299">
        <v>880714.3</v>
      </c>
      <c r="AO72" s="299">
        <v>0</v>
      </c>
      <c r="AP72" s="299">
        <v>46625.012000000002</v>
      </c>
      <c r="AQ72" s="299">
        <v>396050.54200000002</v>
      </c>
      <c r="AR72" s="299">
        <v>100000</v>
      </c>
      <c r="AS72" s="299">
        <v>338038.74600000004</v>
      </c>
      <c r="AT72" s="303">
        <v>0</v>
      </c>
      <c r="AU72" s="285">
        <v>0</v>
      </c>
      <c r="AV72" s="267">
        <f>AQ72-AD72</f>
        <v>396050.54200000002</v>
      </c>
      <c r="AW72" s="331" t="s">
        <v>680</v>
      </c>
      <c r="AX72" s="284" t="s">
        <v>681</v>
      </c>
    </row>
    <row r="73" spans="1:50" ht="249.95" customHeight="1" x14ac:dyDescent="0.2">
      <c r="A73" s="283">
        <v>54</v>
      </c>
      <c r="B73" s="283">
        <v>15</v>
      </c>
      <c r="C73" s="288" t="s">
        <v>346</v>
      </c>
      <c r="D73" s="300" t="s">
        <v>396</v>
      </c>
      <c r="E73" s="308" t="s">
        <v>682</v>
      </c>
      <c r="F73" s="307">
        <v>1.5</v>
      </c>
      <c r="G73" s="307"/>
      <c r="H73" s="297">
        <v>45863</v>
      </c>
      <c r="I73" s="307" t="s">
        <v>683</v>
      </c>
      <c r="J73" s="306" t="s">
        <v>486</v>
      </c>
      <c r="K73" s="330"/>
      <c r="L73" s="330"/>
      <c r="M73" s="329"/>
      <c r="N73" s="365"/>
      <c r="O73" s="365"/>
      <c r="P73" s="341">
        <v>46291</v>
      </c>
      <c r="Q73" s="328"/>
      <c r="R73" s="275"/>
      <c r="S73" s="274">
        <v>489055.84325999999</v>
      </c>
      <c r="T73" s="274">
        <v>74195.786240000001</v>
      </c>
      <c r="U73" s="275">
        <f>T73/S73</f>
        <v>0.15171229883568696</v>
      </c>
      <c r="V73" s="274">
        <v>74195.786240000001</v>
      </c>
      <c r="W73" s="275">
        <f>V73/S73</f>
        <v>0.15171229883568696</v>
      </c>
      <c r="X73" s="274">
        <v>0</v>
      </c>
      <c r="Y73" s="275">
        <f>X73/S73</f>
        <v>0</v>
      </c>
      <c r="Z73" s="274">
        <v>146716.75297999999</v>
      </c>
      <c r="AA73" s="274">
        <f>Z73-V73</f>
        <v>72520.966739999989</v>
      </c>
      <c r="AB73" s="274">
        <f>T73-V73</f>
        <v>0</v>
      </c>
      <c r="AC73" s="275">
        <f>AB73/S73</f>
        <v>0</v>
      </c>
      <c r="AD73" s="274">
        <f>7536.81776+57463.18224</f>
        <v>65000</v>
      </c>
      <c r="AE73" s="274">
        <v>0</v>
      </c>
      <c r="AF73" s="292">
        <f>AE73/S73</f>
        <v>0</v>
      </c>
      <c r="AG73" s="274">
        <v>0</v>
      </c>
      <c r="AH73" s="292">
        <f>AG73/U73</f>
        <v>0</v>
      </c>
      <c r="AI73" s="373">
        <f>U73-L73</f>
        <v>0.15171229883568696</v>
      </c>
      <c r="AJ73" s="273">
        <v>47089</v>
      </c>
      <c r="AK73" s="289" t="s">
        <v>353</v>
      </c>
      <c r="AL73" s="328" t="s">
        <v>542</v>
      </c>
      <c r="AM73" s="327">
        <v>46768</v>
      </c>
      <c r="AN73" s="299">
        <v>800000</v>
      </c>
      <c r="AO73" s="299">
        <v>0</v>
      </c>
      <c r="AP73" s="299">
        <v>9195.7860000000001</v>
      </c>
      <c r="AQ73" s="299">
        <v>143561.90100000001</v>
      </c>
      <c r="AR73" s="299">
        <v>120000</v>
      </c>
      <c r="AS73" s="299">
        <v>527242.31299999997</v>
      </c>
      <c r="AT73" s="303">
        <v>0</v>
      </c>
      <c r="AU73" s="285">
        <v>0</v>
      </c>
      <c r="AV73" s="267">
        <f>AQ73-AD73</f>
        <v>78561.901000000013</v>
      </c>
      <c r="AW73" s="331" t="s">
        <v>684</v>
      </c>
      <c r="AX73" s="284" t="s">
        <v>685</v>
      </c>
    </row>
    <row r="74" spans="1:50" ht="362.25" customHeight="1" x14ac:dyDescent="0.2">
      <c r="A74" s="283">
        <v>55</v>
      </c>
      <c r="B74" s="283">
        <v>16</v>
      </c>
      <c r="C74" s="288" t="s">
        <v>346</v>
      </c>
      <c r="D74" s="300" t="s">
        <v>447</v>
      </c>
      <c r="E74" s="308" t="s">
        <v>686</v>
      </c>
      <c r="F74" s="307">
        <v>0.9</v>
      </c>
      <c r="G74" s="307"/>
      <c r="H74" s="297">
        <v>46055</v>
      </c>
      <c r="I74" s="307" t="s">
        <v>687</v>
      </c>
      <c r="J74" s="306" t="s">
        <v>611</v>
      </c>
      <c r="K74" s="330"/>
      <c r="L74" s="330"/>
      <c r="M74" s="329"/>
      <c r="N74" s="365"/>
      <c r="O74" s="365"/>
      <c r="P74" s="338" t="s">
        <v>688</v>
      </c>
      <c r="Q74" s="337"/>
      <c r="R74" s="275"/>
      <c r="S74" s="274">
        <v>783794.49294999999</v>
      </c>
      <c r="T74" s="274">
        <v>235138.34789</v>
      </c>
      <c r="U74" s="275">
        <f>T74/S74</f>
        <v>0.30000000000637922</v>
      </c>
      <c r="V74" s="274">
        <v>235138.34789</v>
      </c>
      <c r="W74" s="275">
        <f>V74/S74</f>
        <v>0.30000000000637922</v>
      </c>
      <c r="X74" s="274">
        <v>0</v>
      </c>
      <c r="Y74" s="275">
        <f>X74/S74</f>
        <v>0</v>
      </c>
      <c r="Z74" s="274">
        <v>235138.34789</v>
      </c>
      <c r="AA74" s="274">
        <f>Z74-V74</f>
        <v>0</v>
      </c>
      <c r="AB74" s="274">
        <f>T74-V74</f>
        <v>0</v>
      </c>
      <c r="AC74" s="275">
        <f>AB74/S74</f>
        <v>0</v>
      </c>
      <c r="AD74" s="274">
        <v>235138.34789</v>
      </c>
      <c r="AE74" s="274">
        <v>235138.34789</v>
      </c>
      <c r="AF74" s="292">
        <f>AE74/S74</f>
        <v>0.30000000000637922</v>
      </c>
      <c r="AG74" s="274">
        <v>0</v>
      </c>
      <c r="AH74" s="292">
        <f>AG74/S74</f>
        <v>0</v>
      </c>
      <c r="AI74" s="366">
        <f>U74-L74</f>
        <v>0.30000000000637922</v>
      </c>
      <c r="AJ74" s="273">
        <v>46921</v>
      </c>
      <c r="AK74" s="289" t="s">
        <v>353</v>
      </c>
      <c r="AL74" s="328" t="s">
        <v>689</v>
      </c>
      <c r="AM74" s="305">
        <v>47036</v>
      </c>
      <c r="AN74" s="303">
        <v>800000</v>
      </c>
      <c r="AO74" s="303">
        <v>0</v>
      </c>
      <c r="AP74" s="299">
        <v>0</v>
      </c>
      <c r="AQ74" s="299">
        <v>300000</v>
      </c>
      <c r="AR74" s="299">
        <v>482000</v>
      </c>
      <c r="AS74" s="299">
        <v>18000</v>
      </c>
      <c r="AT74" s="299">
        <v>0</v>
      </c>
      <c r="AU74" s="268">
        <v>0</v>
      </c>
      <c r="AV74" s="267">
        <f>AQ74-AD74</f>
        <v>64861.652109999995</v>
      </c>
      <c r="AW74" s="331" t="s">
        <v>690</v>
      </c>
      <c r="AX74" s="284" t="s">
        <v>691</v>
      </c>
    </row>
    <row r="75" spans="1:50" ht="90" customHeight="1" x14ac:dyDescent="0.2">
      <c r="A75" s="372">
        <v>2029</v>
      </c>
      <c r="B75" s="371"/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71"/>
      <c r="V75" s="371"/>
      <c r="W75" s="371"/>
      <c r="X75" s="371"/>
      <c r="Y75" s="371"/>
      <c r="Z75" s="371"/>
      <c r="AA75" s="371"/>
      <c r="AB75" s="371"/>
      <c r="AC75" s="371"/>
      <c r="AD75" s="371"/>
      <c r="AE75" s="371"/>
      <c r="AF75" s="371"/>
      <c r="AG75" s="371"/>
      <c r="AH75" s="371"/>
      <c r="AI75" s="371"/>
      <c r="AJ75" s="371"/>
      <c r="AK75" s="371"/>
      <c r="AL75" s="371"/>
      <c r="AM75" s="371"/>
      <c r="AN75" s="371"/>
      <c r="AO75" s="371"/>
      <c r="AP75" s="371"/>
      <c r="AQ75" s="371"/>
      <c r="AR75" s="371"/>
      <c r="AS75" s="371"/>
      <c r="AT75" s="371"/>
      <c r="AU75" s="371"/>
      <c r="AV75" s="370"/>
      <c r="AW75" s="284"/>
      <c r="AX75" s="284"/>
    </row>
    <row r="76" spans="1:50" s="348" customFormat="1" ht="170.1" customHeight="1" x14ac:dyDescent="0.85">
      <c r="A76" s="323"/>
      <c r="B76" s="323"/>
      <c r="C76" s="360"/>
      <c r="D76" s="359"/>
      <c r="E76" s="320"/>
      <c r="F76" s="356"/>
      <c r="G76" s="356"/>
      <c r="H76" s="356"/>
      <c r="I76" s="356"/>
      <c r="J76" s="315"/>
      <c r="K76" s="358"/>
      <c r="L76" s="358"/>
      <c r="M76" s="357"/>
      <c r="N76" s="357"/>
      <c r="O76" s="357"/>
      <c r="P76" s="356"/>
      <c r="Q76" s="356"/>
      <c r="R76" s="356"/>
      <c r="S76" s="351">
        <f>SUM(S77:S85)</f>
        <v>38721926.501720004</v>
      </c>
      <c r="T76" s="351">
        <f>SUM(T77:T85)</f>
        <v>14986285.151839999</v>
      </c>
      <c r="U76" s="354">
        <f>T76/S76</f>
        <v>0.38702323220344725</v>
      </c>
      <c r="V76" s="351">
        <f>SUM(V77:V85)</f>
        <v>11487177.849859999</v>
      </c>
      <c r="W76" s="354">
        <f>V76/S76</f>
        <v>0.29665822152081578</v>
      </c>
      <c r="X76" s="351">
        <f>SUM(X77:X85)</f>
        <v>7718395.6596499998</v>
      </c>
      <c r="Y76" s="354">
        <f>X76/S76</f>
        <v>0.19932881333544067</v>
      </c>
      <c r="Z76" s="351">
        <f>SUM(Z77:Z85)</f>
        <v>13872543.806430001</v>
      </c>
      <c r="AA76" s="351">
        <f>SUM(AA77:AA85)</f>
        <v>2385365.9565700004</v>
      </c>
      <c r="AB76" s="351">
        <f>SUM(AB77:AB85)</f>
        <v>3499107.30198</v>
      </c>
      <c r="AC76" s="354"/>
      <c r="AD76" s="351">
        <f>SUM(AD77:AD85)</f>
        <v>5187606.0703400001</v>
      </c>
      <c r="AE76" s="351">
        <f>SUM(AE77:AE85)</f>
        <v>2500000</v>
      </c>
      <c r="AF76" s="354"/>
      <c r="AG76" s="351">
        <f>SUM(AG77:AG85)</f>
        <v>0</v>
      </c>
      <c r="AH76" s="354"/>
      <c r="AI76" s="354"/>
      <c r="AJ76" s="354"/>
      <c r="AK76" s="353"/>
      <c r="AL76" s="352"/>
      <c r="AM76" s="352"/>
      <c r="AN76" s="351">
        <f>SUM(AN77:AN85)</f>
        <v>55563457.241000004</v>
      </c>
      <c r="AO76" s="351">
        <f>SUM(AO77:AO85)</f>
        <v>4234508.2069999995</v>
      </c>
      <c r="AP76" s="351">
        <f>SUM(AP77:AP85)</f>
        <v>7047527.273</v>
      </c>
      <c r="AQ76" s="351">
        <f>SUM(AQ77:AQ85)</f>
        <v>6503402.535000002</v>
      </c>
      <c r="AR76" s="351">
        <f>SUM(AR77:AR85)</f>
        <v>6814712.057</v>
      </c>
      <c r="AS76" s="351">
        <f>SUM(AS77:AS85)</f>
        <v>1992514.7719999999</v>
      </c>
      <c r="AT76" s="351">
        <f>SUM(AT77:AT85)</f>
        <v>26881966.897000004</v>
      </c>
      <c r="AU76" s="351">
        <f>SUM(AU77:AU85)</f>
        <v>-3.9999932050704956E-4</v>
      </c>
      <c r="AV76" s="350">
        <f>SUM(AV77:AV85)</f>
        <v>1315796.4646600019</v>
      </c>
      <c r="AW76" s="349"/>
      <c r="AX76" s="349"/>
    </row>
    <row r="77" spans="1:50" ht="396" customHeight="1" x14ac:dyDescent="0.2">
      <c r="A77" s="283">
        <v>56</v>
      </c>
      <c r="B77" s="283">
        <v>1</v>
      </c>
      <c r="C77" s="288" t="s">
        <v>346</v>
      </c>
      <c r="D77" s="288" t="s">
        <v>692</v>
      </c>
      <c r="E77" s="281" t="s">
        <v>693</v>
      </c>
      <c r="F77" s="296">
        <v>3.9847800000000002</v>
      </c>
      <c r="G77" s="296"/>
      <c r="H77" s="297">
        <v>45747</v>
      </c>
      <c r="I77" s="296" t="s">
        <v>694</v>
      </c>
      <c r="J77" s="295" t="s">
        <v>435</v>
      </c>
      <c r="K77" s="330">
        <v>0.105</v>
      </c>
      <c r="L77" s="330">
        <v>0.11</v>
      </c>
      <c r="M77" s="329">
        <f>L77-K77</f>
        <v>5.0000000000000044E-3</v>
      </c>
      <c r="N77" s="365">
        <v>205</v>
      </c>
      <c r="O77" s="365">
        <v>49</v>
      </c>
      <c r="P77" s="342" t="s">
        <v>532</v>
      </c>
      <c r="Q77" s="342" t="s">
        <v>351</v>
      </c>
      <c r="R77" s="275">
        <v>1</v>
      </c>
      <c r="S77" s="291">
        <v>14764374.33893</v>
      </c>
      <c r="T77" s="291">
        <v>4996821.2128999997</v>
      </c>
      <c r="U77" s="292">
        <f>T77/S77</f>
        <v>0.33843772165303471</v>
      </c>
      <c r="V77" s="291">
        <v>4996821.2128999997</v>
      </c>
      <c r="W77" s="292">
        <f>V77/S77</f>
        <v>0.33843772165303471</v>
      </c>
      <c r="X77" s="291">
        <v>2968079.1343200002</v>
      </c>
      <c r="Y77" s="292">
        <f>X77/S77</f>
        <v>0.20102979416431555</v>
      </c>
      <c r="Z77" s="291">
        <v>7382187.1694700001</v>
      </c>
      <c r="AA77" s="291">
        <f>Z77-V77</f>
        <v>2385365.9565700004</v>
      </c>
      <c r="AB77" s="274">
        <f>T77-V77</f>
        <v>0</v>
      </c>
      <c r="AC77" s="275">
        <f>AB77/S77</f>
        <v>0</v>
      </c>
      <c r="AD77" s="291">
        <v>2956000</v>
      </c>
      <c r="AE77" s="291">
        <v>2500000</v>
      </c>
      <c r="AF77" s="292">
        <f>AE77/S77</f>
        <v>0.16932651141255062</v>
      </c>
      <c r="AG77" s="291">
        <v>0</v>
      </c>
      <c r="AH77" s="292">
        <f>AG77/S77</f>
        <v>0</v>
      </c>
      <c r="AI77" s="366">
        <f>U77-L77</f>
        <v>0.22843772165303472</v>
      </c>
      <c r="AJ77" s="290">
        <v>47590</v>
      </c>
      <c r="AK77" s="289" t="s">
        <v>662</v>
      </c>
      <c r="AL77" s="288" t="s">
        <v>695</v>
      </c>
      <c r="AM77" s="328">
        <v>47479</v>
      </c>
      <c r="AN77" s="286">
        <v>20817219.670000002</v>
      </c>
      <c r="AO77" s="286">
        <v>392443.28899999999</v>
      </c>
      <c r="AP77" s="269">
        <v>2140928.0290000001</v>
      </c>
      <c r="AQ77" s="286">
        <v>3130000.0570000019</v>
      </c>
      <c r="AR77" s="286">
        <v>100000</v>
      </c>
      <c r="AS77" s="286">
        <v>1000000</v>
      </c>
      <c r="AT77" s="286">
        <v>14053848.295</v>
      </c>
      <c r="AU77" s="285">
        <v>0</v>
      </c>
      <c r="AV77" s="267">
        <f>AQ77-AD77</f>
        <v>174000.05700000189</v>
      </c>
      <c r="AW77" s="331" t="s">
        <v>696</v>
      </c>
      <c r="AX77" s="284" t="s">
        <v>697</v>
      </c>
    </row>
    <row r="78" spans="1:50" ht="249.95" customHeight="1" x14ac:dyDescent="0.2">
      <c r="A78" s="283">
        <v>57</v>
      </c>
      <c r="B78" s="283">
        <v>2</v>
      </c>
      <c r="C78" s="288" t="s">
        <v>346</v>
      </c>
      <c r="D78" s="288" t="s">
        <v>698</v>
      </c>
      <c r="E78" s="281" t="s">
        <v>699</v>
      </c>
      <c r="F78" s="296">
        <v>9.43947</v>
      </c>
      <c r="G78" s="296"/>
      <c r="H78" s="297">
        <v>44762</v>
      </c>
      <c r="I78" s="296" t="s">
        <v>700</v>
      </c>
      <c r="J78" s="295" t="s">
        <v>701</v>
      </c>
      <c r="K78" s="294">
        <v>0.32</v>
      </c>
      <c r="L78" s="294">
        <v>0.32</v>
      </c>
      <c r="M78" s="329">
        <f>L78-K78</f>
        <v>0</v>
      </c>
      <c r="N78" s="365">
        <v>19</v>
      </c>
      <c r="O78" s="365">
        <v>6</v>
      </c>
      <c r="P78" s="342" t="s">
        <v>504</v>
      </c>
      <c r="Q78" s="337" t="s">
        <v>351</v>
      </c>
      <c r="R78" s="275">
        <v>0.99</v>
      </c>
      <c r="S78" s="274">
        <v>13603952.385570001</v>
      </c>
      <c r="T78" s="274">
        <f>7770176.13517-12318.26657</f>
        <v>7757857.8685999997</v>
      </c>
      <c r="U78" s="275">
        <f>T78/S78</f>
        <v>0.57026499716574452</v>
      </c>
      <c r="V78" s="274">
        <v>4258750.5666199997</v>
      </c>
      <c r="W78" s="275">
        <f>V78/S78</f>
        <v>0.31305244578313479</v>
      </c>
      <c r="X78" s="274">
        <v>4750316.5253299996</v>
      </c>
      <c r="Y78" s="275">
        <f>X78/S78</f>
        <v>0.34918650041503824</v>
      </c>
      <c r="Z78" s="274">
        <v>4258750.5666199997</v>
      </c>
      <c r="AA78" s="274">
        <f>Z78-V78</f>
        <v>0</v>
      </c>
      <c r="AB78" s="274">
        <f>T78-V78</f>
        <v>3499107.30198</v>
      </c>
      <c r="AC78" s="275">
        <f>AB78/S78</f>
        <v>0.25721255138260973</v>
      </c>
      <c r="AD78" s="274">
        <v>0</v>
      </c>
      <c r="AE78" s="274">
        <v>0</v>
      </c>
      <c r="AF78" s="292">
        <f>AE78/S78</f>
        <v>0</v>
      </c>
      <c r="AG78" s="274">
        <v>0</v>
      </c>
      <c r="AH78" s="292">
        <f>AG78/S78</f>
        <v>0</v>
      </c>
      <c r="AI78" s="366">
        <f>U78-L78</f>
        <v>0.25026499716574452</v>
      </c>
      <c r="AJ78" s="290">
        <v>46783</v>
      </c>
      <c r="AK78" s="289" t="s">
        <v>662</v>
      </c>
      <c r="AL78" s="271" t="s">
        <v>702</v>
      </c>
      <c r="AM78" s="328">
        <v>47361</v>
      </c>
      <c r="AN78" s="286">
        <v>15846136.120999999</v>
      </c>
      <c r="AO78" s="286">
        <v>3782927.0219999999</v>
      </c>
      <c r="AP78" s="269">
        <v>4906599.2439999999</v>
      </c>
      <c r="AQ78" s="286">
        <v>806427.21</v>
      </c>
      <c r="AR78" s="286">
        <v>714342.30700000003</v>
      </c>
      <c r="AS78" s="286">
        <v>181514.772</v>
      </c>
      <c r="AT78" s="286">
        <v>5454325.5659999996</v>
      </c>
      <c r="AU78" s="285">
        <v>-3.9999932050704956E-4</v>
      </c>
      <c r="AV78" s="267">
        <f>AQ78-AD78</f>
        <v>806427.21</v>
      </c>
      <c r="AW78" s="331" t="s">
        <v>703</v>
      </c>
      <c r="AX78" s="284" t="s">
        <v>704</v>
      </c>
    </row>
    <row r="79" spans="1:50" ht="249.95" customHeight="1" x14ac:dyDescent="0.2">
      <c r="A79" s="283">
        <v>58</v>
      </c>
      <c r="B79" s="283">
        <v>3</v>
      </c>
      <c r="C79" s="302" t="s">
        <v>511</v>
      </c>
      <c r="D79" s="288" t="s">
        <v>705</v>
      </c>
      <c r="E79" s="281" t="s">
        <v>706</v>
      </c>
      <c r="F79" s="296">
        <v>7.3746799999999997</v>
      </c>
      <c r="G79" s="296"/>
      <c r="H79" s="297">
        <v>46134</v>
      </c>
      <c r="I79" s="296" t="s">
        <v>707</v>
      </c>
      <c r="J79" s="295" t="s">
        <v>633</v>
      </c>
      <c r="K79" s="330"/>
      <c r="L79" s="330"/>
      <c r="M79" s="329"/>
      <c r="N79" s="365"/>
      <c r="O79" s="365"/>
      <c r="P79" s="292"/>
      <c r="Q79" s="275"/>
      <c r="R79" s="275"/>
      <c r="S79" s="291">
        <v>5890387.6365499999</v>
      </c>
      <c r="T79" s="291">
        <v>0</v>
      </c>
      <c r="U79" s="275">
        <f>T79/S79</f>
        <v>0</v>
      </c>
      <c r="V79" s="291">
        <v>0</v>
      </c>
      <c r="W79" s="275">
        <f>V79/S79</f>
        <v>0</v>
      </c>
      <c r="X79" s="291">
        <v>0</v>
      </c>
      <c r="Y79" s="275">
        <f>X79/S79</f>
        <v>0</v>
      </c>
      <c r="Z79" s="291"/>
      <c r="AA79" s="291"/>
      <c r="AB79" s="274"/>
      <c r="AC79" s="275"/>
      <c r="AD79" s="275">
        <v>0</v>
      </c>
      <c r="AE79" s="291"/>
      <c r="AF79" s="291"/>
      <c r="AG79" s="291"/>
      <c r="AH79" s="291"/>
      <c r="AI79" s="369">
        <f>U79-L79</f>
        <v>0</v>
      </c>
      <c r="AJ79" s="290"/>
      <c r="AK79" s="289" t="s">
        <v>371</v>
      </c>
      <c r="AL79" s="271" t="s">
        <v>708</v>
      </c>
      <c r="AM79" s="328">
        <v>47452</v>
      </c>
      <c r="AN79" s="269">
        <v>7450101.4500000002</v>
      </c>
      <c r="AO79" s="269">
        <v>59137.896000000001</v>
      </c>
      <c r="AP79" s="269">
        <v>0</v>
      </c>
      <c r="AQ79" s="269">
        <v>39712.161999999997</v>
      </c>
      <c r="AR79" s="269">
        <v>5255369.75</v>
      </c>
      <c r="AS79" s="269" t="s">
        <v>709</v>
      </c>
      <c r="AT79" s="269">
        <v>7056.1419999999925</v>
      </c>
      <c r="AU79" s="268">
        <v>0</v>
      </c>
      <c r="AV79" s="267">
        <f>AQ79-AD79</f>
        <v>39712.161999999997</v>
      </c>
      <c r="AW79" s="331" t="s">
        <v>710</v>
      </c>
      <c r="AX79" s="284" t="s">
        <v>711</v>
      </c>
    </row>
    <row r="80" spans="1:50" ht="309.75" customHeight="1" x14ac:dyDescent="0.2">
      <c r="A80" s="283">
        <v>59</v>
      </c>
      <c r="B80" s="283">
        <v>4</v>
      </c>
      <c r="C80" s="288" t="s">
        <v>346</v>
      </c>
      <c r="D80" s="300" t="s">
        <v>424</v>
      </c>
      <c r="E80" s="368" t="s">
        <v>712</v>
      </c>
      <c r="F80" s="296">
        <v>1</v>
      </c>
      <c r="G80" s="296"/>
      <c r="H80" s="297">
        <v>46008</v>
      </c>
      <c r="I80" s="296" t="s">
        <v>713</v>
      </c>
      <c r="J80" s="295" t="s">
        <v>531</v>
      </c>
      <c r="K80" s="330"/>
      <c r="L80" s="330"/>
      <c r="M80" s="329"/>
      <c r="N80" s="365"/>
      <c r="O80" s="365"/>
      <c r="P80" s="338" t="s">
        <v>714</v>
      </c>
      <c r="Q80" s="367" t="s">
        <v>715</v>
      </c>
      <c r="R80" s="343">
        <v>0</v>
      </c>
      <c r="S80" s="274">
        <v>4463212.1406699996</v>
      </c>
      <c r="T80" s="274">
        <v>2231606.0703400001</v>
      </c>
      <c r="U80" s="275">
        <f>T80/S80</f>
        <v>0.50000000000112033</v>
      </c>
      <c r="V80" s="274">
        <v>2231606.0703400001</v>
      </c>
      <c r="W80" s="275">
        <f>V80/S80</f>
        <v>0.50000000000112033</v>
      </c>
      <c r="X80" s="274">
        <v>0</v>
      </c>
      <c r="Y80" s="275">
        <f>X80/S80</f>
        <v>0</v>
      </c>
      <c r="Z80" s="274">
        <v>2231606.0703400001</v>
      </c>
      <c r="AA80" s="274">
        <f>Z80-V80</f>
        <v>0</v>
      </c>
      <c r="AB80" s="274">
        <f>T80-V80</f>
        <v>0</v>
      </c>
      <c r="AC80" s="275">
        <f>AB80/S80</f>
        <v>0</v>
      </c>
      <c r="AD80" s="274">
        <v>2231606.0703400001</v>
      </c>
      <c r="AE80" s="274">
        <v>0</v>
      </c>
      <c r="AF80" s="292">
        <f>AE80/S80</f>
        <v>0</v>
      </c>
      <c r="AG80" s="274">
        <v>0</v>
      </c>
      <c r="AH80" s="292">
        <f>AG80/S80</f>
        <v>0</v>
      </c>
      <c r="AI80" s="366">
        <f>U80-L80</f>
        <v>0.50000000000112033</v>
      </c>
      <c r="AJ80" s="290">
        <v>47454</v>
      </c>
      <c r="AK80" s="289" t="s">
        <v>662</v>
      </c>
      <c r="AL80" s="328" t="s">
        <v>716</v>
      </c>
      <c r="AM80" s="328">
        <v>47376</v>
      </c>
      <c r="AN80" s="286">
        <v>4500000</v>
      </c>
      <c r="AO80" s="303">
        <v>0</v>
      </c>
      <c r="AP80" s="269">
        <v>0</v>
      </c>
      <c r="AQ80" s="286">
        <v>2457263.1060000001</v>
      </c>
      <c r="AR80" s="286">
        <v>695000</v>
      </c>
      <c r="AS80" s="286">
        <v>695000</v>
      </c>
      <c r="AT80" s="286">
        <v>652736.89399999997</v>
      </c>
      <c r="AU80" s="285">
        <v>0</v>
      </c>
      <c r="AV80" s="267">
        <f>AQ80-AD80</f>
        <v>225657.03566000005</v>
      </c>
      <c r="AW80" s="331" t="s">
        <v>717</v>
      </c>
      <c r="AX80" s="284" t="s">
        <v>718</v>
      </c>
    </row>
    <row r="81" spans="1:50" ht="249.95" customHeight="1" x14ac:dyDescent="0.2">
      <c r="A81" s="283">
        <v>60</v>
      </c>
      <c r="B81" s="283">
        <v>5</v>
      </c>
      <c r="C81" s="288" t="s">
        <v>346</v>
      </c>
      <c r="D81" s="300" t="s">
        <v>396</v>
      </c>
      <c r="E81" s="308" t="s">
        <v>719</v>
      </c>
      <c r="F81" s="307">
        <v>1.6</v>
      </c>
      <c r="G81" s="307"/>
      <c r="H81" s="297"/>
      <c r="I81" s="307"/>
      <c r="J81" s="306"/>
      <c r="K81" s="330"/>
      <c r="L81" s="330"/>
      <c r="M81" s="329"/>
      <c r="N81" s="365"/>
      <c r="O81" s="365"/>
      <c r="P81" s="292"/>
      <c r="Q81" s="275"/>
      <c r="R81" s="275"/>
      <c r="S81" s="274"/>
      <c r="T81" s="274"/>
      <c r="U81" s="275"/>
      <c r="V81" s="274"/>
      <c r="W81" s="275"/>
      <c r="X81" s="274"/>
      <c r="Y81" s="275"/>
      <c r="Z81" s="274"/>
      <c r="AA81" s="274"/>
      <c r="AB81" s="274"/>
      <c r="AC81" s="275"/>
      <c r="AD81" s="274"/>
      <c r="AE81" s="274"/>
      <c r="AF81" s="274"/>
      <c r="AG81" s="274"/>
      <c r="AH81" s="274"/>
      <c r="AI81" s="292"/>
      <c r="AJ81" s="273"/>
      <c r="AK81" s="289" t="s">
        <v>353</v>
      </c>
      <c r="AL81" s="328" t="s">
        <v>720</v>
      </c>
      <c r="AM81" s="328">
        <v>47452</v>
      </c>
      <c r="AN81" s="303">
        <v>2400000</v>
      </c>
      <c r="AO81" s="303">
        <v>0</v>
      </c>
      <c r="AP81" s="299">
        <v>0</v>
      </c>
      <c r="AQ81" s="303">
        <v>70000</v>
      </c>
      <c r="AR81" s="303">
        <v>50000</v>
      </c>
      <c r="AS81" s="303">
        <v>50000</v>
      </c>
      <c r="AT81" s="303">
        <v>2230000</v>
      </c>
      <c r="AU81" s="285">
        <v>0</v>
      </c>
      <c r="AV81" s="267">
        <f>AQ81-AD81</f>
        <v>70000</v>
      </c>
      <c r="AW81" s="331"/>
      <c r="AX81" s="284"/>
    </row>
    <row r="82" spans="1:50" ht="249.95" customHeight="1" x14ac:dyDescent="0.2">
      <c r="A82" s="283">
        <v>61</v>
      </c>
      <c r="B82" s="283">
        <v>6</v>
      </c>
      <c r="C82" s="288" t="s">
        <v>346</v>
      </c>
      <c r="D82" s="300" t="s">
        <v>396</v>
      </c>
      <c r="E82" s="308" t="s">
        <v>721</v>
      </c>
      <c r="F82" s="307">
        <v>1.6</v>
      </c>
      <c r="G82" s="307"/>
      <c r="H82" s="297"/>
      <c r="I82" s="307"/>
      <c r="J82" s="306"/>
      <c r="K82" s="330"/>
      <c r="L82" s="330"/>
      <c r="M82" s="329"/>
      <c r="N82" s="365"/>
      <c r="O82" s="365"/>
      <c r="P82" s="292"/>
      <c r="Q82" s="275"/>
      <c r="R82" s="275"/>
      <c r="S82" s="274"/>
      <c r="T82" s="274"/>
      <c r="U82" s="275"/>
      <c r="V82" s="274"/>
      <c r="W82" s="275"/>
      <c r="X82" s="274"/>
      <c r="Y82" s="275"/>
      <c r="Z82" s="274"/>
      <c r="AA82" s="274"/>
      <c r="AB82" s="274"/>
      <c r="AC82" s="275"/>
      <c r="AD82" s="274"/>
      <c r="AE82" s="274"/>
      <c r="AF82" s="274"/>
      <c r="AG82" s="274"/>
      <c r="AH82" s="274"/>
      <c r="AI82" s="292"/>
      <c r="AJ82" s="273"/>
      <c r="AK82" s="289" t="s">
        <v>353</v>
      </c>
      <c r="AL82" s="287" t="s">
        <v>722</v>
      </c>
      <c r="AM82" s="305">
        <v>47475</v>
      </c>
      <c r="AN82" s="303">
        <v>2300000</v>
      </c>
      <c r="AO82" s="303">
        <v>0</v>
      </c>
      <c r="AP82" s="299">
        <v>0</v>
      </c>
      <c r="AQ82" s="303">
        <v>0</v>
      </c>
      <c r="AR82" s="303">
        <v>0</v>
      </c>
      <c r="AS82" s="303">
        <v>0</v>
      </c>
      <c r="AT82" s="303">
        <v>2300000</v>
      </c>
      <c r="AU82" s="285">
        <v>0</v>
      </c>
      <c r="AV82" s="267">
        <f>AQ82-AD82</f>
        <v>0</v>
      </c>
      <c r="AW82" s="284"/>
      <c r="AX82" s="284"/>
    </row>
    <row r="83" spans="1:50" ht="407.25" customHeight="1" x14ac:dyDescent="0.2">
      <c r="A83" s="283">
        <v>62</v>
      </c>
      <c r="B83" s="283">
        <v>7</v>
      </c>
      <c r="C83" s="288" t="s">
        <v>346</v>
      </c>
      <c r="D83" s="300" t="s">
        <v>439</v>
      </c>
      <c r="E83" s="308" t="s">
        <v>723</v>
      </c>
      <c r="F83" s="307">
        <v>1</v>
      </c>
      <c r="G83" s="307"/>
      <c r="H83" s="297"/>
      <c r="I83" s="307"/>
      <c r="J83" s="306"/>
      <c r="K83" s="330"/>
      <c r="L83" s="330"/>
      <c r="M83" s="329"/>
      <c r="N83" s="365"/>
      <c r="O83" s="365"/>
      <c r="P83" s="292"/>
      <c r="Q83" s="275"/>
      <c r="R83" s="275"/>
      <c r="S83" s="274"/>
      <c r="T83" s="274"/>
      <c r="U83" s="275"/>
      <c r="V83" s="274"/>
      <c r="W83" s="275"/>
      <c r="X83" s="274"/>
      <c r="Y83" s="275"/>
      <c r="Z83" s="274"/>
      <c r="AA83" s="274"/>
      <c r="AB83" s="274"/>
      <c r="AC83" s="275"/>
      <c r="AD83" s="274"/>
      <c r="AE83" s="274"/>
      <c r="AF83" s="274"/>
      <c r="AG83" s="274"/>
      <c r="AH83" s="274"/>
      <c r="AI83" s="292"/>
      <c r="AJ83" s="273"/>
      <c r="AK83" s="289" t="s">
        <v>353</v>
      </c>
      <c r="AL83" s="287" t="s">
        <v>724</v>
      </c>
      <c r="AM83" s="305">
        <v>47477</v>
      </c>
      <c r="AN83" s="303">
        <v>1200000</v>
      </c>
      <c r="AO83" s="303">
        <v>0</v>
      </c>
      <c r="AP83" s="299">
        <v>0</v>
      </c>
      <c r="AQ83" s="303">
        <v>0</v>
      </c>
      <c r="AR83" s="303">
        <v>0</v>
      </c>
      <c r="AS83" s="303">
        <v>36000</v>
      </c>
      <c r="AT83" s="303">
        <v>1164000</v>
      </c>
      <c r="AU83" s="285">
        <v>0</v>
      </c>
      <c r="AV83" s="267">
        <f>AQ83-AD83</f>
        <v>0</v>
      </c>
      <c r="AW83" s="284"/>
      <c r="AX83" s="284"/>
    </row>
    <row r="84" spans="1:50" ht="336" customHeight="1" x14ac:dyDescent="0.2">
      <c r="A84" s="283">
        <v>63</v>
      </c>
      <c r="B84" s="283">
        <v>8</v>
      </c>
      <c r="C84" s="288" t="s">
        <v>346</v>
      </c>
      <c r="D84" s="300" t="s">
        <v>725</v>
      </c>
      <c r="E84" s="308" t="s">
        <v>726</v>
      </c>
      <c r="F84" s="307">
        <v>3.02</v>
      </c>
      <c r="G84" s="307"/>
      <c r="H84" s="297"/>
      <c r="I84" s="307"/>
      <c r="J84" s="306"/>
      <c r="K84" s="330"/>
      <c r="L84" s="330"/>
      <c r="M84" s="329"/>
      <c r="N84" s="365"/>
      <c r="O84" s="365"/>
      <c r="P84" s="292"/>
      <c r="Q84" s="275"/>
      <c r="R84" s="275"/>
      <c r="S84" s="274"/>
      <c r="T84" s="274"/>
      <c r="U84" s="275"/>
      <c r="V84" s="274"/>
      <c r="W84" s="275"/>
      <c r="X84" s="274"/>
      <c r="Y84" s="275"/>
      <c r="Z84" s="274"/>
      <c r="AA84" s="274"/>
      <c r="AB84" s="274"/>
      <c r="AC84" s="275"/>
      <c r="AD84" s="274"/>
      <c r="AE84" s="274"/>
      <c r="AF84" s="274"/>
      <c r="AG84" s="274"/>
      <c r="AH84" s="274"/>
      <c r="AI84" s="292"/>
      <c r="AJ84" s="273"/>
      <c r="AK84" s="289" t="s">
        <v>353</v>
      </c>
      <c r="AL84" s="287" t="s">
        <v>727</v>
      </c>
      <c r="AM84" s="305">
        <v>47479</v>
      </c>
      <c r="AN84" s="303">
        <v>550000</v>
      </c>
      <c r="AO84" s="303">
        <v>0</v>
      </c>
      <c r="AP84" s="299">
        <v>0</v>
      </c>
      <c r="AQ84" s="303">
        <v>0</v>
      </c>
      <c r="AR84" s="303">
        <v>0</v>
      </c>
      <c r="AS84" s="303">
        <v>0</v>
      </c>
      <c r="AT84" s="303">
        <v>550000</v>
      </c>
      <c r="AU84" s="285">
        <v>0</v>
      </c>
      <c r="AV84" s="267">
        <f>AQ84-AD84</f>
        <v>0</v>
      </c>
      <c r="AW84" s="284"/>
      <c r="AX84" s="284"/>
    </row>
    <row r="85" spans="1:50" ht="249.95" customHeight="1" x14ac:dyDescent="0.2">
      <c r="A85" s="283">
        <v>64</v>
      </c>
      <c r="B85" s="283">
        <v>9</v>
      </c>
      <c r="C85" s="288" t="s">
        <v>346</v>
      </c>
      <c r="D85" s="300" t="s">
        <v>728</v>
      </c>
      <c r="E85" s="308" t="s">
        <v>729</v>
      </c>
      <c r="F85" s="307">
        <v>1</v>
      </c>
      <c r="G85" s="307"/>
      <c r="H85" s="297"/>
      <c r="I85" s="307"/>
      <c r="J85" s="306"/>
      <c r="K85" s="330"/>
      <c r="L85" s="330"/>
      <c r="M85" s="329"/>
      <c r="N85" s="365"/>
      <c r="O85" s="365"/>
      <c r="P85" s="292"/>
      <c r="Q85" s="275"/>
      <c r="R85" s="275"/>
      <c r="S85" s="274"/>
      <c r="T85" s="274"/>
      <c r="U85" s="275"/>
      <c r="V85" s="274"/>
      <c r="W85" s="275"/>
      <c r="X85" s="274"/>
      <c r="Y85" s="275"/>
      <c r="Z85" s="274"/>
      <c r="AA85" s="274"/>
      <c r="AB85" s="274"/>
      <c r="AC85" s="275"/>
      <c r="AD85" s="274"/>
      <c r="AE85" s="274"/>
      <c r="AF85" s="274"/>
      <c r="AG85" s="274"/>
      <c r="AH85" s="274"/>
      <c r="AI85" s="292"/>
      <c r="AJ85" s="273"/>
      <c r="AK85" s="289" t="s">
        <v>353</v>
      </c>
      <c r="AL85" s="287" t="s">
        <v>730</v>
      </c>
      <c r="AM85" s="305">
        <v>47479</v>
      </c>
      <c r="AN85" s="303">
        <v>500000</v>
      </c>
      <c r="AO85" s="303">
        <v>0</v>
      </c>
      <c r="AP85" s="299">
        <v>0</v>
      </c>
      <c r="AQ85" s="303">
        <v>0</v>
      </c>
      <c r="AR85" s="303">
        <v>0</v>
      </c>
      <c r="AS85" s="303">
        <v>30000</v>
      </c>
      <c r="AT85" s="303">
        <v>470000</v>
      </c>
      <c r="AU85" s="285">
        <v>0</v>
      </c>
      <c r="AV85" s="267">
        <f>AQ85-AD85</f>
        <v>0</v>
      </c>
      <c r="AW85" s="284"/>
      <c r="AX85" s="284"/>
    </row>
    <row r="86" spans="1:50" s="256" customFormat="1" ht="90" customHeight="1" x14ac:dyDescent="0.75">
      <c r="A86" s="364" t="s">
        <v>731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63"/>
      <c r="AB86" s="363"/>
      <c r="AC86" s="363"/>
      <c r="AD86" s="363"/>
      <c r="AE86" s="363"/>
      <c r="AF86" s="363"/>
      <c r="AG86" s="363"/>
      <c r="AH86" s="363"/>
      <c r="AI86" s="363"/>
      <c r="AJ86" s="363"/>
      <c r="AK86" s="363"/>
      <c r="AL86" s="363"/>
      <c r="AM86" s="363"/>
      <c r="AN86" s="363"/>
      <c r="AO86" s="363"/>
      <c r="AP86" s="363"/>
      <c r="AQ86" s="363"/>
      <c r="AR86" s="363"/>
      <c r="AS86" s="363"/>
      <c r="AT86" s="363"/>
      <c r="AU86" s="363"/>
      <c r="AV86" s="362"/>
      <c r="AW86" s="361"/>
      <c r="AX86" s="361"/>
    </row>
    <row r="87" spans="1:50" s="348" customFormat="1" ht="170.1" customHeight="1" x14ac:dyDescent="0.85">
      <c r="A87" s="323"/>
      <c r="B87" s="323"/>
      <c r="C87" s="360"/>
      <c r="D87" s="359"/>
      <c r="E87" s="320"/>
      <c r="F87" s="356"/>
      <c r="G87" s="356"/>
      <c r="H87" s="356"/>
      <c r="I87" s="356"/>
      <c r="J87" s="315"/>
      <c r="K87" s="358"/>
      <c r="L87" s="358"/>
      <c r="M87" s="357"/>
      <c r="N87" s="357"/>
      <c r="O87" s="357"/>
      <c r="P87" s="356"/>
      <c r="Q87" s="356"/>
      <c r="R87" s="355"/>
      <c r="S87" s="351">
        <f>SUM(S88:S111)</f>
        <v>39589357.02837</v>
      </c>
      <c r="T87" s="351">
        <f>SUM(T88:T111)</f>
        <v>3009938.6274600006</v>
      </c>
      <c r="U87" s="354">
        <f>T87/S87</f>
        <v>7.602898489366873E-2</v>
      </c>
      <c r="V87" s="351">
        <f>SUM(V88:V111)</f>
        <v>2684479.0140500003</v>
      </c>
      <c r="W87" s="354">
        <f>V87/S87</f>
        <v>6.7808098326181065E-2</v>
      </c>
      <c r="X87" s="351">
        <f>SUM(X88:X111)</f>
        <v>327948.29706000007</v>
      </c>
      <c r="Y87" s="354">
        <f>X87/S87</f>
        <v>8.2837490092347327E-3</v>
      </c>
      <c r="Z87" s="351">
        <f>SUM(Z88:Z111)</f>
        <v>10878034.05965</v>
      </c>
      <c r="AA87" s="351">
        <f>SUM(AA88:AA111)</f>
        <v>8193555.0455999989</v>
      </c>
      <c r="AB87" s="351">
        <f>SUM(AB88:AB111)</f>
        <v>325459.61341000005</v>
      </c>
      <c r="AC87" s="354">
        <f>AB87/S87</f>
        <v>8.2208865674876577E-3</v>
      </c>
      <c r="AD87" s="351">
        <f>SUM(AD88:AD111)</f>
        <v>376911.58366</v>
      </c>
      <c r="AE87" s="351">
        <f>SUM(AE88:AE111)</f>
        <v>7161.5878700000003</v>
      </c>
      <c r="AF87" s="354">
        <f>AE87/S87</f>
        <v>1.8089679670392115E-4</v>
      </c>
      <c r="AG87" s="351">
        <f>SUM(AG88:AG111)</f>
        <v>0</v>
      </c>
      <c r="AH87" s="354">
        <f>AG87/S87</f>
        <v>0</v>
      </c>
      <c r="AI87" s="354"/>
      <c r="AJ87" s="354"/>
      <c r="AK87" s="353"/>
      <c r="AL87" s="352"/>
      <c r="AM87" s="352"/>
      <c r="AN87" s="351">
        <f>SUM(AN88:AN111)</f>
        <v>67252081.647</v>
      </c>
      <c r="AO87" s="351">
        <f>SUM(AO88:AO111)</f>
        <v>2280570.52</v>
      </c>
      <c r="AP87" s="351">
        <f>SUM(AP88:AP111)</f>
        <v>4347089.2550000008</v>
      </c>
      <c r="AQ87" s="351">
        <f>SUM(AQ88:AQ111)</f>
        <v>3866842.4699999997</v>
      </c>
      <c r="AR87" s="351">
        <f>SUM(AR88:AR111)</f>
        <v>11537207.019000001</v>
      </c>
      <c r="AS87" s="351">
        <f>SUM(AS88:AS111)</f>
        <v>7613182.8930000002</v>
      </c>
      <c r="AT87" s="351">
        <f>SUM(AT88:AT111)</f>
        <v>37607189.490000002</v>
      </c>
      <c r="AU87" s="351">
        <f>SUM(AU88:AU111)</f>
        <v>0</v>
      </c>
      <c r="AV87" s="350">
        <f>SUM(AV88:AV111)</f>
        <v>3489930.8863399997</v>
      </c>
      <c r="AW87" s="349"/>
      <c r="AX87" s="349"/>
    </row>
    <row r="88" spans="1:50" ht="298.5" customHeight="1" x14ac:dyDescent="0.2">
      <c r="A88" s="283">
        <v>65</v>
      </c>
      <c r="B88" s="283">
        <v>1</v>
      </c>
      <c r="C88" s="288" t="s">
        <v>346</v>
      </c>
      <c r="D88" s="288" t="s">
        <v>439</v>
      </c>
      <c r="E88" s="347" t="s">
        <v>732</v>
      </c>
      <c r="F88" s="296">
        <v>8.0424199999999999</v>
      </c>
      <c r="G88" s="296"/>
      <c r="H88" s="297">
        <v>45849</v>
      </c>
      <c r="I88" s="296" t="s">
        <v>733</v>
      </c>
      <c r="J88" s="334" t="s">
        <v>350</v>
      </c>
      <c r="K88" s="330"/>
      <c r="L88" s="330"/>
      <c r="M88" s="329"/>
      <c r="N88" s="333"/>
      <c r="O88" s="333"/>
      <c r="P88" s="342" t="s">
        <v>734</v>
      </c>
      <c r="Q88" s="342" t="s">
        <v>351</v>
      </c>
      <c r="R88" s="275">
        <v>0</v>
      </c>
      <c r="S88" s="274">
        <v>4301893.9670399996</v>
      </c>
      <c r="T88" s="274">
        <v>51724.340230000002</v>
      </c>
      <c r="U88" s="275">
        <f>T88/S88</f>
        <v>1.2023620439345678E-2</v>
      </c>
      <c r="V88" s="274">
        <v>51724.340230000002</v>
      </c>
      <c r="W88" s="275">
        <f>V88/S88</f>
        <v>1.2023620439345678E-2</v>
      </c>
      <c r="X88" s="274">
        <v>0</v>
      </c>
      <c r="Y88" s="275">
        <f>X88/S88</f>
        <v>0</v>
      </c>
      <c r="Z88" s="274">
        <v>430189.39669999998</v>
      </c>
      <c r="AA88" s="274">
        <f>Z88-V88</f>
        <v>378465.05646999995</v>
      </c>
      <c r="AB88" s="274">
        <f>T88-V88</f>
        <v>0</v>
      </c>
      <c r="AC88" s="275">
        <f>AB88/S88</f>
        <v>0</v>
      </c>
      <c r="AD88" s="274">
        <v>0</v>
      </c>
      <c r="AE88" s="274">
        <v>0</v>
      </c>
      <c r="AF88" s="292">
        <f>AE88/S88</f>
        <v>0</v>
      </c>
      <c r="AG88" s="274">
        <v>0</v>
      </c>
      <c r="AH88" s="292">
        <f>AG88/S88</f>
        <v>0</v>
      </c>
      <c r="AI88" s="292"/>
      <c r="AJ88" s="273">
        <v>47435</v>
      </c>
      <c r="AK88" s="289" t="s">
        <v>353</v>
      </c>
      <c r="AL88" s="288" t="s">
        <v>735</v>
      </c>
      <c r="AM88" s="287">
        <v>47149</v>
      </c>
      <c r="AN88" s="286">
        <v>13952734.748999998</v>
      </c>
      <c r="AO88" s="303">
        <v>311075.71000000002</v>
      </c>
      <c r="AP88" s="269">
        <v>1286299.9440000001</v>
      </c>
      <c r="AQ88" s="286">
        <v>686744.87300000002</v>
      </c>
      <c r="AR88" s="286">
        <v>202000</v>
      </c>
      <c r="AS88" s="286">
        <v>200000</v>
      </c>
      <c r="AT88" s="286">
        <v>11266614.221999999</v>
      </c>
      <c r="AU88" s="285">
        <v>0</v>
      </c>
      <c r="AV88" s="267">
        <f>AQ88-AD88</f>
        <v>686744.87300000002</v>
      </c>
      <c r="AW88" s="331" t="s">
        <v>736</v>
      </c>
      <c r="AX88" s="284" t="s">
        <v>737</v>
      </c>
    </row>
    <row r="89" spans="1:50" ht="249.95" customHeight="1" x14ac:dyDescent="0.2">
      <c r="A89" s="283">
        <v>66</v>
      </c>
      <c r="B89" s="283">
        <v>2</v>
      </c>
      <c r="C89" s="288" t="s">
        <v>346</v>
      </c>
      <c r="D89" s="288" t="s">
        <v>521</v>
      </c>
      <c r="E89" s="298" t="s">
        <v>20</v>
      </c>
      <c r="F89" s="296">
        <v>6.4608800000000004</v>
      </c>
      <c r="G89" s="296"/>
      <c r="H89" s="297">
        <v>44858</v>
      </c>
      <c r="I89" s="296" t="s">
        <v>738</v>
      </c>
      <c r="J89" s="295" t="s">
        <v>360</v>
      </c>
      <c r="K89" s="330"/>
      <c r="L89" s="330"/>
      <c r="M89" s="329"/>
      <c r="N89" s="333"/>
      <c r="O89" s="333"/>
      <c r="P89" s="342" t="s">
        <v>739</v>
      </c>
      <c r="Q89" s="337"/>
      <c r="R89" s="275"/>
      <c r="S89" s="274">
        <v>4779285.1770400004</v>
      </c>
      <c r="T89" s="274">
        <v>1501520.7481</v>
      </c>
      <c r="U89" s="275">
        <f>T89/S89</f>
        <v>0.31417266232896168</v>
      </c>
      <c r="V89" s="274">
        <v>1208640.4920999999</v>
      </c>
      <c r="W89" s="275">
        <f>V89/S89</f>
        <v>0.25289147797800143</v>
      </c>
      <c r="X89" s="274">
        <v>292880.25600000005</v>
      </c>
      <c r="Y89" s="275">
        <f>X89/S89</f>
        <v>6.128118435096027E-2</v>
      </c>
      <c r="Z89" s="274">
        <v>1345921.4763</v>
      </c>
      <c r="AA89" s="274">
        <f>Z89-V89</f>
        <v>137280.98420000006</v>
      </c>
      <c r="AB89" s="274">
        <f>T89-V89</f>
        <v>292880.25600000005</v>
      </c>
      <c r="AC89" s="275">
        <f>AB89/S89</f>
        <v>6.128118435096027E-2</v>
      </c>
      <c r="AD89" s="274">
        <v>0</v>
      </c>
      <c r="AE89" s="274">
        <v>0</v>
      </c>
      <c r="AF89" s="292">
        <f>AE89/S89</f>
        <v>0</v>
      </c>
      <c r="AG89" s="274">
        <v>0</v>
      </c>
      <c r="AH89" s="292">
        <f>AG89/S89</f>
        <v>0</v>
      </c>
      <c r="AI89" s="292"/>
      <c r="AJ89" s="290">
        <v>46811</v>
      </c>
      <c r="AK89" s="289" t="s">
        <v>662</v>
      </c>
      <c r="AL89" s="271" t="s">
        <v>740</v>
      </c>
      <c r="AM89" s="328">
        <v>47452</v>
      </c>
      <c r="AN89" s="286">
        <v>9565188.3049999997</v>
      </c>
      <c r="AO89" s="286">
        <v>1508603.8859999999</v>
      </c>
      <c r="AP89" s="269">
        <v>1730322.4680000001</v>
      </c>
      <c r="AQ89" s="286">
        <v>324253.54599999997</v>
      </c>
      <c r="AR89" s="286">
        <v>277390.60600000003</v>
      </c>
      <c r="AS89" s="286">
        <v>1500000</v>
      </c>
      <c r="AT89" s="286">
        <v>4224617.7990000006</v>
      </c>
      <c r="AU89" s="285">
        <v>0</v>
      </c>
      <c r="AV89" s="267">
        <f>AQ89-AD89</f>
        <v>324253.54599999997</v>
      </c>
      <c r="AW89" s="331" t="s">
        <v>741</v>
      </c>
      <c r="AX89" s="284" t="s">
        <v>742</v>
      </c>
    </row>
    <row r="90" spans="1:50" ht="249.95" customHeight="1" x14ac:dyDescent="0.2">
      <c r="A90" s="283">
        <v>67</v>
      </c>
      <c r="B90" s="283">
        <v>3</v>
      </c>
      <c r="C90" s="288" t="s">
        <v>743</v>
      </c>
      <c r="D90" s="300" t="s">
        <v>744</v>
      </c>
      <c r="E90" s="308" t="s">
        <v>53</v>
      </c>
      <c r="F90" s="307"/>
      <c r="G90" s="307"/>
      <c r="H90" s="297">
        <v>45859</v>
      </c>
      <c r="I90" s="307" t="s">
        <v>745</v>
      </c>
      <c r="J90" s="306" t="s">
        <v>435</v>
      </c>
      <c r="K90" s="330"/>
      <c r="L90" s="330"/>
      <c r="M90" s="329"/>
      <c r="N90" s="333"/>
      <c r="O90" s="333"/>
      <c r="P90" s="346">
        <v>46321</v>
      </c>
      <c r="Q90" s="345"/>
      <c r="R90" s="275"/>
      <c r="S90" s="274">
        <v>5131606.6408099998</v>
      </c>
      <c r="T90" s="274">
        <v>51184.458700000003</v>
      </c>
      <c r="U90" s="275">
        <f>T90/S90</f>
        <v>9.9743535081092613E-3</v>
      </c>
      <c r="V90" s="274">
        <v>51184.458700000003</v>
      </c>
      <c r="W90" s="275">
        <f>V90/S90</f>
        <v>9.9743535081092613E-3</v>
      </c>
      <c r="X90" s="274">
        <v>0</v>
      </c>
      <c r="Y90" s="275">
        <f>X90/S90</f>
        <v>0</v>
      </c>
      <c r="Z90" s="274">
        <v>1539481.9922400001</v>
      </c>
      <c r="AA90" s="274">
        <f>Z90-V90</f>
        <v>1488297.53354</v>
      </c>
      <c r="AB90" s="274">
        <f>T90-V90</f>
        <v>0</v>
      </c>
      <c r="AC90" s="275">
        <f>AB90/S90</f>
        <v>0</v>
      </c>
      <c r="AD90" s="274">
        <v>0</v>
      </c>
      <c r="AE90" s="274">
        <v>0</v>
      </c>
      <c r="AF90" s="292">
        <f>AE90/S90</f>
        <v>0</v>
      </c>
      <c r="AG90" s="274">
        <v>0</v>
      </c>
      <c r="AH90" s="292">
        <f>AG90/S90</f>
        <v>0</v>
      </c>
      <c r="AI90" s="292"/>
      <c r="AJ90" s="273">
        <v>47455</v>
      </c>
      <c r="AK90" s="289" t="s">
        <v>353</v>
      </c>
      <c r="AL90" s="287" t="s">
        <v>746</v>
      </c>
      <c r="AM90" s="305">
        <v>47253</v>
      </c>
      <c r="AN90" s="303">
        <v>6000000</v>
      </c>
      <c r="AO90" s="303">
        <v>0</v>
      </c>
      <c r="AP90" s="299">
        <v>51184.459000000003</v>
      </c>
      <c r="AQ90" s="303">
        <v>178815.541</v>
      </c>
      <c r="AR90" s="303">
        <v>100000</v>
      </c>
      <c r="AS90" s="303">
        <v>170418.2</v>
      </c>
      <c r="AT90" s="303">
        <v>5499581.7999999998</v>
      </c>
      <c r="AU90" s="285">
        <v>0</v>
      </c>
      <c r="AV90" s="267">
        <f>AQ90-AD90</f>
        <v>178815.541</v>
      </c>
      <c r="AW90" s="331" t="s">
        <v>747</v>
      </c>
      <c r="AX90" s="284" t="s">
        <v>748</v>
      </c>
    </row>
    <row r="91" spans="1:50" ht="249.95" customHeight="1" x14ac:dyDescent="0.2">
      <c r="A91" s="283">
        <v>68</v>
      </c>
      <c r="B91" s="283">
        <v>4</v>
      </c>
      <c r="C91" s="288" t="s">
        <v>346</v>
      </c>
      <c r="D91" s="300" t="s">
        <v>396</v>
      </c>
      <c r="E91" s="308" t="s">
        <v>749</v>
      </c>
      <c r="F91" s="307">
        <v>2</v>
      </c>
      <c r="G91" s="307"/>
      <c r="H91" s="297">
        <v>45863</v>
      </c>
      <c r="I91" s="307" t="s">
        <v>750</v>
      </c>
      <c r="J91" s="306" t="s">
        <v>552</v>
      </c>
      <c r="K91" s="330"/>
      <c r="L91" s="330"/>
      <c r="M91" s="329"/>
      <c r="N91" s="333"/>
      <c r="O91" s="333"/>
      <c r="P91" s="346">
        <v>46321</v>
      </c>
      <c r="Q91" s="345"/>
      <c r="R91" s="275"/>
      <c r="S91" s="274">
        <v>4894285.2457999997</v>
      </c>
      <c r="T91" s="274">
        <v>34697.885750000001</v>
      </c>
      <c r="U91" s="275">
        <f>T91/S91</f>
        <v>7.0894694541507926E-3</v>
      </c>
      <c r="V91" s="274">
        <v>34697.885750000001</v>
      </c>
      <c r="W91" s="275">
        <f>V91/S91</f>
        <v>7.0894694541507926E-3</v>
      </c>
      <c r="X91" s="274">
        <v>0</v>
      </c>
      <c r="Y91" s="275">
        <f>X91/S91</f>
        <v>0</v>
      </c>
      <c r="Z91" s="274">
        <v>1468285.5737399999</v>
      </c>
      <c r="AA91" s="274">
        <f>Z91-V91</f>
        <v>1433587.68799</v>
      </c>
      <c r="AB91" s="274">
        <f>T91-V91</f>
        <v>0</v>
      </c>
      <c r="AC91" s="275">
        <f>AB91/S91</f>
        <v>0</v>
      </c>
      <c r="AD91" s="274">
        <v>0</v>
      </c>
      <c r="AE91" s="274">
        <v>0</v>
      </c>
      <c r="AF91" s="292">
        <f>AE91/S91</f>
        <v>0</v>
      </c>
      <c r="AG91" s="274">
        <v>0</v>
      </c>
      <c r="AH91" s="292">
        <f>AG91/S91</f>
        <v>0</v>
      </c>
      <c r="AI91" s="292"/>
      <c r="AJ91" s="273">
        <v>47459</v>
      </c>
      <c r="AK91" s="289" t="s">
        <v>353</v>
      </c>
      <c r="AL91" s="328" t="s">
        <v>751</v>
      </c>
      <c r="AM91" s="305">
        <v>47392</v>
      </c>
      <c r="AN91" s="303">
        <v>5000000</v>
      </c>
      <c r="AO91" s="303">
        <v>0</v>
      </c>
      <c r="AP91" s="299">
        <v>34697.885999999999</v>
      </c>
      <c r="AQ91" s="303">
        <v>85000</v>
      </c>
      <c r="AR91" s="303">
        <v>122272.402</v>
      </c>
      <c r="AS91" s="303">
        <v>80000</v>
      </c>
      <c r="AT91" s="303">
        <v>4678029.7120000003</v>
      </c>
      <c r="AU91" s="285">
        <v>0</v>
      </c>
      <c r="AV91" s="267">
        <f>AQ91-AD91</f>
        <v>85000</v>
      </c>
      <c r="AW91" s="331" t="s">
        <v>752</v>
      </c>
      <c r="AX91" s="284" t="s">
        <v>753</v>
      </c>
    </row>
    <row r="92" spans="1:50" ht="309.75" customHeight="1" x14ac:dyDescent="0.2">
      <c r="A92" s="283">
        <v>69</v>
      </c>
      <c r="B92" s="283">
        <v>5</v>
      </c>
      <c r="C92" s="288" t="s">
        <v>346</v>
      </c>
      <c r="D92" s="300" t="s">
        <v>754</v>
      </c>
      <c r="E92" s="308" t="s">
        <v>100</v>
      </c>
      <c r="F92" s="307">
        <v>1.1000000000000001</v>
      </c>
      <c r="G92" s="307"/>
      <c r="H92" s="297">
        <v>45909</v>
      </c>
      <c r="I92" s="307" t="s">
        <v>755</v>
      </c>
      <c r="J92" s="306" t="s">
        <v>611</v>
      </c>
      <c r="K92" s="330"/>
      <c r="L92" s="330"/>
      <c r="M92" s="329"/>
      <c r="N92" s="333"/>
      <c r="O92" s="333"/>
      <c r="P92" s="332">
        <v>46352</v>
      </c>
      <c r="Q92" s="310"/>
      <c r="R92" s="275"/>
      <c r="S92" s="274">
        <v>3779460.7757799998</v>
      </c>
      <c r="T92" s="274">
        <v>43868.169560000002</v>
      </c>
      <c r="U92" s="275">
        <f>T92/S92</f>
        <v>1.1606991621958704E-2</v>
      </c>
      <c r="V92" s="274">
        <v>43868.169560000002</v>
      </c>
      <c r="W92" s="275">
        <f>V92/S92</f>
        <v>1.1606991621958704E-2</v>
      </c>
      <c r="X92" s="274">
        <v>0</v>
      </c>
      <c r="Y92" s="275">
        <f>X92/S92</f>
        <v>0</v>
      </c>
      <c r="Z92" s="274">
        <v>1133838.23273</v>
      </c>
      <c r="AA92" s="274">
        <f>Z92-V92</f>
        <v>1089970.06317</v>
      </c>
      <c r="AB92" s="274">
        <f>T92-V92</f>
        <v>0</v>
      </c>
      <c r="AC92" s="275">
        <f>AB92/S92</f>
        <v>0</v>
      </c>
      <c r="AD92" s="274">
        <v>0</v>
      </c>
      <c r="AE92" s="274">
        <v>0</v>
      </c>
      <c r="AF92" s="292">
        <f>AE92/S92</f>
        <v>0</v>
      </c>
      <c r="AG92" s="274">
        <v>0</v>
      </c>
      <c r="AH92" s="292">
        <f>AG92/S92</f>
        <v>0</v>
      </c>
      <c r="AI92" s="292"/>
      <c r="AJ92" s="290">
        <v>47470</v>
      </c>
      <c r="AK92" s="289" t="s">
        <v>353</v>
      </c>
      <c r="AL92" s="328" t="s">
        <v>756</v>
      </c>
      <c r="AM92" s="327">
        <v>46744</v>
      </c>
      <c r="AN92" s="299">
        <v>4000000</v>
      </c>
      <c r="AO92" s="299">
        <v>0</v>
      </c>
      <c r="AP92" s="299">
        <v>43868.17</v>
      </c>
      <c r="AQ92" s="299">
        <v>169131.83000000002</v>
      </c>
      <c r="AR92" s="299">
        <v>100000</v>
      </c>
      <c r="AS92" s="303">
        <v>90000</v>
      </c>
      <c r="AT92" s="303">
        <v>3597000</v>
      </c>
      <c r="AU92" s="285">
        <v>0</v>
      </c>
      <c r="AV92" s="267">
        <f>AQ92-AD92</f>
        <v>169131.83000000002</v>
      </c>
      <c r="AW92" s="331" t="s">
        <v>757</v>
      </c>
      <c r="AX92" s="284" t="s">
        <v>758</v>
      </c>
    </row>
    <row r="93" spans="1:50" ht="249.95" customHeight="1" x14ac:dyDescent="0.2">
      <c r="A93" s="283">
        <v>70</v>
      </c>
      <c r="B93" s="283">
        <v>6</v>
      </c>
      <c r="C93" s="288" t="s">
        <v>346</v>
      </c>
      <c r="D93" s="288" t="s">
        <v>572</v>
      </c>
      <c r="E93" s="298" t="s">
        <v>759</v>
      </c>
      <c r="F93" s="296">
        <v>1.4701</v>
      </c>
      <c r="G93" s="296"/>
      <c r="H93" s="297">
        <v>45883</v>
      </c>
      <c r="I93" s="296" t="s">
        <v>760</v>
      </c>
      <c r="J93" s="295" t="s">
        <v>515</v>
      </c>
      <c r="K93" s="330"/>
      <c r="L93" s="330"/>
      <c r="M93" s="329"/>
      <c r="N93" s="333"/>
      <c r="O93" s="333"/>
      <c r="P93" s="341">
        <v>46260</v>
      </c>
      <c r="Q93" s="328"/>
      <c r="R93" s="275"/>
      <c r="S93" s="274">
        <v>2969691.5292799999</v>
      </c>
      <c r="T93" s="274">
        <v>257840.00481000001</v>
      </c>
      <c r="U93" s="275">
        <f>T93/S93</f>
        <v>8.6823834148361256E-2</v>
      </c>
      <c r="V93" s="274">
        <v>257840.00481000001</v>
      </c>
      <c r="W93" s="275">
        <f>V93/S93</f>
        <v>8.6823834148361256E-2</v>
      </c>
      <c r="X93" s="274">
        <v>0</v>
      </c>
      <c r="Y93" s="275">
        <f>X93/S93</f>
        <v>0</v>
      </c>
      <c r="Z93" s="274">
        <v>296969.15292999998</v>
      </c>
      <c r="AA93" s="274">
        <f>Z93-V93</f>
        <v>39129.148119999969</v>
      </c>
      <c r="AB93" s="274">
        <f>T93-V93</f>
        <v>0</v>
      </c>
      <c r="AC93" s="275">
        <f>AB93/S93</f>
        <v>0</v>
      </c>
      <c r="AD93" s="274">
        <f>13115.83416+236884.16584</f>
        <v>250000</v>
      </c>
      <c r="AE93" s="274">
        <v>0</v>
      </c>
      <c r="AF93" s="292">
        <f>AE93/S93</f>
        <v>0</v>
      </c>
      <c r="AG93" s="274">
        <v>0</v>
      </c>
      <c r="AH93" s="292">
        <f>AG93/S93</f>
        <v>0</v>
      </c>
      <c r="AI93" s="292"/>
      <c r="AJ93" s="273">
        <v>46724</v>
      </c>
      <c r="AK93" s="289" t="s">
        <v>353</v>
      </c>
      <c r="AL93" s="288" t="s">
        <v>761</v>
      </c>
      <c r="AM93" s="328">
        <v>46748</v>
      </c>
      <c r="AN93" s="286">
        <v>3636228.281</v>
      </c>
      <c r="AO93" s="286">
        <v>359548.87100000004</v>
      </c>
      <c r="AP93" s="269">
        <v>25945.592000000059</v>
      </c>
      <c r="AQ93" s="286">
        <v>389027.19500000007</v>
      </c>
      <c r="AR93" s="286">
        <v>2861706.6230000001</v>
      </c>
      <c r="AS93" s="286">
        <v>5.8207660913467401E-11</v>
      </c>
      <c r="AT93" s="286">
        <v>5.8207660913467401E-11</v>
      </c>
      <c r="AU93" s="285">
        <v>0</v>
      </c>
      <c r="AV93" s="267">
        <f>AQ93-AD93</f>
        <v>139027.19500000007</v>
      </c>
      <c r="AW93" s="331" t="s">
        <v>762</v>
      </c>
      <c r="AX93" s="284" t="s">
        <v>763</v>
      </c>
    </row>
    <row r="94" spans="1:50" ht="249.95" customHeight="1" x14ac:dyDescent="0.2">
      <c r="A94" s="283">
        <v>71</v>
      </c>
      <c r="B94" s="283">
        <v>7</v>
      </c>
      <c r="C94" s="288" t="s">
        <v>346</v>
      </c>
      <c r="D94" s="300" t="s">
        <v>764</v>
      </c>
      <c r="E94" s="308" t="s">
        <v>167</v>
      </c>
      <c r="F94" s="307">
        <v>1.9</v>
      </c>
      <c r="G94" s="307"/>
      <c r="H94" s="297">
        <v>45895</v>
      </c>
      <c r="I94" s="307" t="s">
        <v>765</v>
      </c>
      <c r="J94" s="295" t="s">
        <v>766</v>
      </c>
      <c r="K94" s="330"/>
      <c r="L94" s="330"/>
      <c r="M94" s="329"/>
      <c r="N94" s="333"/>
      <c r="O94" s="333"/>
      <c r="P94" s="332">
        <v>46321</v>
      </c>
      <c r="Q94" s="310"/>
      <c r="R94" s="275"/>
      <c r="S94" s="274">
        <v>3178785.7977700001</v>
      </c>
      <c r="T94" s="274">
        <v>44923.599829999999</v>
      </c>
      <c r="U94" s="275">
        <f>T94/S94</f>
        <v>1.4132314250779357E-2</v>
      </c>
      <c r="V94" s="274">
        <v>44923.599829999999</v>
      </c>
      <c r="W94" s="275">
        <f>V94/S94</f>
        <v>1.4132314250779357E-2</v>
      </c>
      <c r="X94" s="274">
        <v>0</v>
      </c>
      <c r="Y94" s="275">
        <f>X94/S94</f>
        <v>0</v>
      </c>
      <c r="Z94" s="274">
        <v>953635.73933000001</v>
      </c>
      <c r="AA94" s="274">
        <f>Z94-V94</f>
        <v>908712.13950000005</v>
      </c>
      <c r="AB94" s="274">
        <f>T94-V94</f>
        <v>0</v>
      </c>
      <c r="AC94" s="275">
        <f>AB94/S94</f>
        <v>0</v>
      </c>
      <c r="AD94" s="274">
        <v>0</v>
      </c>
      <c r="AE94" s="274">
        <v>0</v>
      </c>
      <c r="AF94" s="292">
        <f>AE94/S94</f>
        <v>0</v>
      </c>
      <c r="AG94" s="274">
        <v>0</v>
      </c>
      <c r="AH94" s="292">
        <f>AG94/U94</f>
        <v>0</v>
      </c>
      <c r="AI94" s="292"/>
      <c r="AJ94" s="273">
        <v>47096</v>
      </c>
      <c r="AK94" s="289" t="s">
        <v>353</v>
      </c>
      <c r="AL94" s="328" t="s">
        <v>767</v>
      </c>
      <c r="AM94" s="327">
        <v>46796</v>
      </c>
      <c r="AN94" s="299">
        <v>3500000</v>
      </c>
      <c r="AO94" s="299">
        <v>0</v>
      </c>
      <c r="AP94" s="299">
        <v>44923.6</v>
      </c>
      <c r="AQ94" s="299">
        <v>175076.4</v>
      </c>
      <c r="AR94" s="299">
        <v>100000</v>
      </c>
      <c r="AS94" s="299">
        <v>80000</v>
      </c>
      <c r="AT94" s="303">
        <v>3100000</v>
      </c>
      <c r="AU94" s="285">
        <v>0</v>
      </c>
      <c r="AV94" s="267">
        <f>AQ94-AD94</f>
        <v>175076.4</v>
      </c>
      <c r="AW94" s="331" t="s">
        <v>768</v>
      </c>
      <c r="AX94" s="284" t="s">
        <v>769</v>
      </c>
    </row>
    <row r="95" spans="1:50" ht="249.95" customHeight="1" x14ac:dyDescent="0.2">
      <c r="A95" s="283">
        <v>72</v>
      </c>
      <c r="B95" s="283">
        <v>8</v>
      </c>
      <c r="C95" s="288" t="s">
        <v>346</v>
      </c>
      <c r="D95" s="300" t="s">
        <v>572</v>
      </c>
      <c r="E95" s="308" t="s">
        <v>770</v>
      </c>
      <c r="F95" s="307">
        <v>5.2</v>
      </c>
      <c r="G95" s="307"/>
      <c r="H95" s="297"/>
      <c r="I95" s="307"/>
      <c r="J95" s="306"/>
      <c r="K95" s="330"/>
      <c r="L95" s="330"/>
      <c r="M95" s="329"/>
      <c r="N95" s="293"/>
      <c r="O95" s="293"/>
      <c r="P95" s="292"/>
      <c r="Q95" s="275"/>
      <c r="R95" s="275"/>
      <c r="S95" s="274"/>
      <c r="T95" s="274"/>
      <c r="U95" s="275"/>
      <c r="V95" s="274"/>
      <c r="W95" s="275"/>
      <c r="X95" s="274"/>
      <c r="Y95" s="275"/>
      <c r="Z95" s="274"/>
      <c r="AA95" s="274"/>
      <c r="AB95" s="274"/>
      <c r="AC95" s="275"/>
      <c r="AD95" s="274"/>
      <c r="AE95" s="274"/>
      <c r="AF95" s="274"/>
      <c r="AG95" s="274"/>
      <c r="AH95" s="274"/>
      <c r="AI95" s="274"/>
      <c r="AJ95" s="273"/>
      <c r="AK95" s="289" t="s">
        <v>353</v>
      </c>
      <c r="AL95" s="328" t="s">
        <v>771</v>
      </c>
      <c r="AM95" s="305">
        <v>47392</v>
      </c>
      <c r="AN95" s="303">
        <v>3290000</v>
      </c>
      <c r="AO95" s="303">
        <v>0</v>
      </c>
      <c r="AP95" s="299">
        <v>0</v>
      </c>
      <c r="AQ95" s="303">
        <v>53500</v>
      </c>
      <c r="AR95" s="303">
        <v>103500</v>
      </c>
      <c r="AS95" s="303">
        <v>50000</v>
      </c>
      <c r="AT95" s="303">
        <v>3083000</v>
      </c>
      <c r="AU95" s="285">
        <v>0</v>
      </c>
      <c r="AV95" s="267">
        <f>AQ95-AD95</f>
        <v>53500</v>
      </c>
      <c r="AW95" s="331"/>
      <c r="AX95" s="284"/>
    </row>
    <row r="96" spans="1:50" ht="362.25" customHeight="1" x14ac:dyDescent="0.2">
      <c r="A96" s="283">
        <v>73</v>
      </c>
      <c r="B96" s="283">
        <v>9</v>
      </c>
      <c r="C96" s="288" t="s">
        <v>346</v>
      </c>
      <c r="D96" s="300" t="s">
        <v>439</v>
      </c>
      <c r="E96" s="308" t="s">
        <v>772</v>
      </c>
      <c r="F96" s="307">
        <v>1</v>
      </c>
      <c r="G96" s="307"/>
      <c r="H96" s="297">
        <v>45876</v>
      </c>
      <c r="I96" s="307" t="s">
        <v>773</v>
      </c>
      <c r="J96" s="306" t="s">
        <v>552</v>
      </c>
      <c r="K96" s="330"/>
      <c r="L96" s="330"/>
      <c r="M96" s="329"/>
      <c r="N96" s="333"/>
      <c r="O96" s="333"/>
      <c r="P96" s="341">
        <v>46107</v>
      </c>
      <c r="Q96" s="328"/>
      <c r="R96" s="275"/>
      <c r="S96" s="274">
        <v>1501991.2610599999</v>
      </c>
      <c r="T96" s="274">
        <v>92654.043430000005</v>
      </c>
      <c r="U96" s="275">
        <f>T96/S96</f>
        <v>6.1687471713125205E-2</v>
      </c>
      <c r="V96" s="274">
        <v>92654.043430000005</v>
      </c>
      <c r="W96" s="275">
        <f>V96/S96</f>
        <v>6.1687471713125205E-2</v>
      </c>
      <c r="X96" s="274">
        <v>0</v>
      </c>
      <c r="Y96" s="275">
        <f>X96/S96</f>
        <v>0</v>
      </c>
      <c r="Z96" s="274">
        <v>450597.37832000002</v>
      </c>
      <c r="AA96" s="274">
        <f>Z96-V96</f>
        <v>357943.33489</v>
      </c>
      <c r="AB96" s="274">
        <f>T96-V96</f>
        <v>0</v>
      </c>
      <c r="AC96" s="275">
        <f>AB96/S96</f>
        <v>0</v>
      </c>
      <c r="AD96" s="274">
        <f>11972.99043+68027.00957</f>
        <v>80000</v>
      </c>
      <c r="AE96" s="274">
        <v>0</v>
      </c>
      <c r="AF96" s="292">
        <f>AE96/S96</f>
        <v>0</v>
      </c>
      <c r="AG96" s="274">
        <v>0</v>
      </c>
      <c r="AH96" s="292">
        <f>AG96/S96</f>
        <v>0</v>
      </c>
      <c r="AI96" s="292"/>
      <c r="AJ96" s="273">
        <v>47452</v>
      </c>
      <c r="AK96" s="289" t="s">
        <v>353</v>
      </c>
      <c r="AL96" s="328" t="s">
        <v>756</v>
      </c>
      <c r="AM96" s="327">
        <v>46768</v>
      </c>
      <c r="AN96" s="299">
        <v>2500000</v>
      </c>
      <c r="AO96" s="299">
        <v>0</v>
      </c>
      <c r="AP96" s="299">
        <v>12654.043</v>
      </c>
      <c r="AQ96" s="299">
        <v>138000</v>
      </c>
      <c r="AR96" s="299">
        <v>111000</v>
      </c>
      <c r="AS96" s="299">
        <v>80000</v>
      </c>
      <c r="AT96" s="303">
        <v>2158345.9569999999</v>
      </c>
      <c r="AU96" s="285">
        <v>0</v>
      </c>
      <c r="AV96" s="267">
        <f>AQ96-AD96</f>
        <v>58000</v>
      </c>
      <c r="AW96" s="331" t="s">
        <v>774</v>
      </c>
      <c r="AX96" s="284" t="s">
        <v>775</v>
      </c>
    </row>
    <row r="97" spans="1:50" ht="249.95" customHeight="1" x14ac:dyDescent="0.2">
      <c r="A97" s="283">
        <v>74</v>
      </c>
      <c r="B97" s="283">
        <v>10</v>
      </c>
      <c r="C97" s="288" t="s">
        <v>346</v>
      </c>
      <c r="D97" s="300" t="s">
        <v>495</v>
      </c>
      <c r="E97" s="336" t="s">
        <v>776</v>
      </c>
      <c r="F97" s="307">
        <v>2.5</v>
      </c>
      <c r="G97" s="307"/>
      <c r="H97" s="297">
        <v>45896</v>
      </c>
      <c r="I97" s="307" t="s">
        <v>777</v>
      </c>
      <c r="J97" s="306" t="s">
        <v>360</v>
      </c>
      <c r="K97" s="330"/>
      <c r="L97" s="330"/>
      <c r="M97" s="329"/>
      <c r="N97" s="333"/>
      <c r="O97" s="333"/>
      <c r="P97" s="338" t="s">
        <v>778</v>
      </c>
      <c r="Q97" s="344" t="s">
        <v>779</v>
      </c>
      <c r="R97" s="343">
        <v>0</v>
      </c>
      <c r="S97" s="274">
        <v>1753364.6502400001</v>
      </c>
      <c r="T97" s="274">
        <v>427109.41985000001</v>
      </c>
      <c r="U97" s="275">
        <f>T97/S97</f>
        <v>0.24359417750981655</v>
      </c>
      <c r="V97" s="274">
        <v>427109.41985000001</v>
      </c>
      <c r="W97" s="275">
        <f>V97/S97</f>
        <v>0.24359417750981655</v>
      </c>
      <c r="X97" s="274">
        <v>0</v>
      </c>
      <c r="Y97" s="275">
        <f>X97/S97</f>
        <v>0</v>
      </c>
      <c r="Z97" s="274">
        <v>526009.39506999997</v>
      </c>
      <c r="AA97" s="274">
        <f>Z97-V97</f>
        <v>98899.975219999964</v>
      </c>
      <c r="AB97" s="274">
        <f>T97-V97</f>
        <v>0</v>
      </c>
      <c r="AC97" s="275">
        <f>AB97/S97</f>
        <v>0</v>
      </c>
      <c r="AD97" s="274">
        <v>0</v>
      </c>
      <c r="AE97" s="274">
        <v>0</v>
      </c>
      <c r="AF97" s="292">
        <f>AE97/S97</f>
        <v>0</v>
      </c>
      <c r="AG97" s="274">
        <v>0</v>
      </c>
      <c r="AH97" s="292">
        <f>AG97/S97</f>
        <v>0</v>
      </c>
      <c r="AI97" s="292"/>
      <c r="AJ97" s="290">
        <v>47112</v>
      </c>
      <c r="AK97" s="289" t="s">
        <v>353</v>
      </c>
      <c r="AL97" s="328" t="s">
        <v>542</v>
      </c>
      <c r="AM97" s="327">
        <v>46744</v>
      </c>
      <c r="AN97" s="299">
        <v>2301000</v>
      </c>
      <c r="AO97" s="299">
        <v>0</v>
      </c>
      <c r="AP97" s="299">
        <v>427109.42</v>
      </c>
      <c r="AQ97" s="299">
        <v>283890.58</v>
      </c>
      <c r="AR97" s="299">
        <v>100000</v>
      </c>
      <c r="AS97" s="303">
        <v>1490000</v>
      </c>
      <c r="AT97" s="303">
        <v>0</v>
      </c>
      <c r="AU97" s="285">
        <v>0</v>
      </c>
      <c r="AV97" s="267">
        <f>AQ97-AD97</f>
        <v>283890.58</v>
      </c>
      <c r="AW97" s="331" t="s">
        <v>780</v>
      </c>
      <c r="AX97" s="284" t="s">
        <v>781</v>
      </c>
    </row>
    <row r="98" spans="1:50" ht="249.95" customHeight="1" x14ac:dyDescent="0.2">
      <c r="A98" s="283">
        <v>75</v>
      </c>
      <c r="B98" s="283">
        <v>11</v>
      </c>
      <c r="C98" s="288" t="s">
        <v>431</v>
      </c>
      <c r="D98" s="337" t="s">
        <v>447</v>
      </c>
      <c r="E98" s="336" t="s">
        <v>782</v>
      </c>
      <c r="F98" s="335"/>
      <c r="G98" s="335"/>
      <c r="H98" s="335"/>
      <c r="I98" s="335"/>
      <c r="J98" s="334"/>
      <c r="K98" s="330"/>
      <c r="L98" s="330"/>
      <c r="M98" s="329"/>
      <c r="N98" s="276"/>
      <c r="O98" s="276"/>
      <c r="P98" s="275"/>
      <c r="Q98" s="275"/>
      <c r="R98" s="275"/>
      <c r="S98" s="274"/>
      <c r="T98" s="274"/>
      <c r="U98" s="275"/>
      <c r="V98" s="274"/>
      <c r="W98" s="275"/>
      <c r="X98" s="274"/>
      <c r="Y98" s="275"/>
      <c r="Z98" s="274"/>
      <c r="AA98" s="274"/>
      <c r="AB98" s="274"/>
      <c r="AC98" s="275"/>
      <c r="AD98" s="274"/>
      <c r="AE98" s="274"/>
      <c r="AF98" s="292"/>
      <c r="AG98" s="274"/>
      <c r="AH98" s="292"/>
      <c r="AI98" s="292"/>
      <c r="AJ98" s="290"/>
      <c r="AK98" s="272" t="s">
        <v>353</v>
      </c>
      <c r="AL98" s="328" t="s">
        <v>783</v>
      </c>
      <c r="AM98" s="328">
        <v>46684</v>
      </c>
      <c r="AN98" s="269">
        <v>2070000</v>
      </c>
      <c r="AO98" s="299">
        <v>0</v>
      </c>
      <c r="AP98" s="299">
        <v>0</v>
      </c>
      <c r="AQ98" s="299">
        <v>70000</v>
      </c>
      <c r="AR98" s="299">
        <v>100000</v>
      </c>
      <c r="AS98" s="299">
        <v>1900000</v>
      </c>
      <c r="AT98" s="303">
        <v>0</v>
      </c>
      <c r="AU98" s="285">
        <v>0</v>
      </c>
      <c r="AV98" s="267">
        <f>AQ98-AD98</f>
        <v>70000</v>
      </c>
      <c r="AW98" s="284"/>
      <c r="AX98" s="284"/>
    </row>
    <row r="99" spans="1:50" ht="291" customHeight="1" x14ac:dyDescent="0.2">
      <c r="A99" s="283">
        <v>76</v>
      </c>
      <c r="B99" s="283">
        <v>12</v>
      </c>
      <c r="C99" s="288" t="s">
        <v>346</v>
      </c>
      <c r="D99" s="300" t="s">
        <v>439</v>
      </c>
      <c r="E99" s="308" t="s">
        <v>784</v>
      </c>
      <c r="F99" s="307">
        <v>1.56</v>
      </c>
      <c r="G99" s="307"/>
      <c r="H99" s="297">
        <v>45754</v>
      </c>
      <c r="I99" s="307" t="s">
        <v>785</v>
      </c>
      <c r="J99" s="306" t="s">
        <v>552</v>
      </c>
      <c r="K99" s="330"/>
      <c r="L99" s="330"/>
      <c r="M99" s="329"/>
      <c r="N99" s="333"/>
      <c r="O99" s="333"/>
      <c r="P99" s="338" t="s">
        <v>786</v>
      </c>
      <c r="Q99" s="337"/>
      <c r="R99" s="275"/>
      <c r="S99" s="274">
        <v>1009728.55829</v>
      </c>
      <c r="T99" s="274">
        <v>303246.01353</v>
      </c>
      <c r="U99" s="275">
        <f>T99/S99</f>
        <v>0.30032429115757064</v>
      </c>
      <c r="V99" s="274">
        <v>303246.01353</v>
      </c>
      <c r="W99" s="275">
        <f>V99/S99</f>
        <v>0.30032429115757064</v>
      </c>
      <c r="X99" s="274">
        <v>0</v>
      </c>
      <c r="Y99" s="275">
        <f>X99/S99</f>
        <v>0</v>
      </c>
      <c r="Z99" s="274">
        <v>504864.27915000002</v>
      </c>
      <c r="AA99" s="274">
        <f>Z99-V99</f>
        <v>201618.26562000002</v>
      </c>
      <c r="AB99" s="274">
        <f>T99-V99</f>
        <v>0</v>
      </c>
      <c r="AC99" s="275">
        <f>AB99/S99</f>
        <v>0</v>
      </c>
      <c r="AD99" s="274">
        <v>0</v>
      </c>
      <c r="AE99" s="274">
        <v>0</v>
      </c>
      <c r="AF99" s="292">
        <f>AE99/S99</f>
        <v>0</v>
      </c>
      <c r="AG99" s="274">
        <v>0</v>
      </c>
      <c r="AH99" s="292">
        <f>AG99/S99</f>
        <v>0</v>
      </c>
      <c r="AI99" s="292"/>
      <c r="AJ99" s="290">
        <v>46730</v>
      </c>
      <c r="AK99" s="289" t="s">
        <v>353</v>
      </c>
      <c r="AL99" s="300" t="s">
        <v>787</v>
      </c>
      <c r="AM99" s="305">
        <v>46646</v>
      </c>
      <c r="AN99" s="303">
        <v>1600000</v>
      </c>
      <c r="AO99" s="303">
        <v>0</v>
      </c>
      <c r="AP99" s="299">
        <v>504864.28</v>
      </c>
      <c r="AQ99" s="303">
        <v>316753.98599999998</v>
      </c>
      <c r="AR99" s="303">
        <v>778381.73399999994</v>
      </c>
      <c r="AS99" s="303">
        <v>0</v>
      </c>
      <c r="AT99" s="303">
        <v>0</v>
      </c>
      <c r="AU99" s="285">
        <v>0</v>
      </c>
      <c r="AV99" s="267">
        <f>AQ99-AD99</f>
        <v>316753.98599999998</v>
      </c>
      <c r="AW99" s="331" t="s">
        <v>788</v>
      </c>
      <c r="AX99" s="284" t="s">
        <v>789</v>
      </c>
    </row>
    <row r="100" spans="1:50" ht="249.95" customHeight="1" x14ac:dyDescent="0.2">
      <c r="A100" s="283">
        <v>77</v>
      </c>
      <c r="B100" s="283">
        <v>13</v>
      </c>
      <c r="C100" s="288" t="s">
        <v>431</v>
      </c>
      <c r="D100" s="337" t="s">
        <v>790</v>
      </c>
      <c r="E100" s="336" t="s">
        <v>165</v>
      </c>
      <c r="F100" s="335"/>
      <c r="G100" s="335"/>
      <c r="H100" s="280">
        <v>45751</v>
      </c>
      <c r="I100" s="335" t="s">
        <v>791</v>
      </c>
      <c r="J100" s="334" t="s">
        <v>792</v>
      </c>
      <c r="K100" s="330"/>
      <c r="L100" s="330"/>
      <c r="M100" s="329"/>
      <c r="N100" s="333"/>
      <c r="O100" s="333"/>
      <c r="P100" s="342" t="s">
        <v>793</v>
      </c>
      <c r="Q100" s="337"/>
      <c r="R100" s="275"/>
      <c r="S100" s="274">
        <v>788938.20426000003</v>
      </c>
      <c r="T100" s="274">
        <v>22000.000499999998</v>
      </c>
      <c r="U100" s="275">
        <f>T100/S100</f>
        <v>2.7885581381668956E-2</v>
      </c>
      <c r="V100" s="274">
        <v>22000.000499999998</v>
      </c>
      <c r="W100" s="275">
        <f>V100/S100</f>
        <v>2.7885581381668956E-2</v>
      </c>
      <c r="X100" s="274">
        <v>0</v>
      </c>
      <c r="Y100" s="275">
        <f>X100/S100</f>
        <v>0</v>
      </c>
      <c r="Z100" s="274">
        <v>556090.37913999998</v>
      </c>
      <c r="AA100" s="274">
        <f>Z100-V100</f>
        <v>534090.37864000001</v>
      </c>
      <c r="AB100" s="274">
        <f>T100-V100</f>
        <v>0</v>
      </c>
      <c r="AC100" s="275">
        <f>AB100/S100</f>
        <v>0</v>
      </c>
      <c r="AD100" s="274">
        <v>0</v>
      </c>
      <c r="AE100" s="274">
        <v>0</v>
      </c>
      <c r="AF100" s="292">
        <f>AE100/S100</f>
        <v>0</v>
      </c>
      <c r="AG100" s="274">
        <v>0</v>
      </c>
      <c r="AH100" s="292">
        <f>AG100/S100</f>
        <v>0</v>
      </c>
      <c r="AI100" s="292"/>
      <c r="AJ100" s="290">
        <v>46742</v>
      </c>
      <c r="AK100" s="289" t="s">
        <v>353</v>
      </c>
      <c r="AL100" s="328" t="s">
        <v>794</v>
      </c>
      <c r="AM100" s="328">
        <v>46670</v>
      </c>
      <c r="AN100" s="269">
        <v>1450000</v>
      </c>
      <c r="AO100" s="299">
        <v>0</v>
      </c>
      <c r="AP100" s="299">
        <v>27119.152999999998</v>
      </c>
      <c r="AQ100" s="299">
        <v>113003.29100000003</v>
      </c>
      <c r="AR100" s="299">
        <v>1309877.5560000001</v>
      </c>
      <c r="AS100" s="299">
        <v>0</v>
      </c>
      <c r="AT100" s="303">
        <v>0</v>
      </c>
      <c r="AU100" s="285">
        <v>0</v>
      </c>
      <c r="AV100" s="267">
        <f>AQ100-AD100</f>
        <v>113003.29100000003</v>
      </c>
      <c r="AW100" s="331" t="s">
        <v>795</v>
      </c>
      <c r="AX100" s="284" t="s">
        <v>796</v>
      </c>
    </row>
    <row r="101" spans="1:50" ht="249.95" customHeight="1" x14ac:dyDescent="0.2">
      <c r="A101" s="283">
        <v>78</v>
      </c>
      <c r="B101" s="283">
        <v>14</v>
      </c>
      <c r="C101" s="288" t="s">
        <v>346</v>
      </c>
      <c r="D101" s="300" t="s">
        <v>483</v>
      </c>
      <c r="E101" s="301" t="s">
        <v>34</v>
      </c>
      <c r="F101" s="296">
        <v>1.53</v>
      </c>
      <c r="G101" s="296"/>
      <c r="H101" s="297">
        <v>45561</v>
      </c>
      <c r="I101" s="296" t="s">
        <v>797</v>
      </c>
      <c r="J101" s="295" t="s">
        <v>360</v>
      </c>
      <c r="K101" s="330"/>
      <c r="L101" s="330"/>
      <c r="M101" s="329"/>
      <c r="N101" s="333"/>
      <c r="O101" s="333"/>
      <c r="P101" s="338" t="s">
        <v>786</v>
      </c>
      <c r="Q101" s="337"/>
      <c r="R101" s="275"/>
      <c r="S101" s="274">
        <v>1396625.5742599999</v>
      </c>
      <c r="T101" s="274">
        <v>11211.19138</v>
      </c>
      <c r="U101" s="275">
        <f>T101/S101</f>
        <v>8.0273421786223806E-3</v>
      </c>
      <c r="V101" s="274">
        <v>11211.19138</v>
      </c>
      <c r="W101" s="275">
        <f>V101/S101</f>
        <v>8.0273421786223806E-3</v>
      </c>
      <c r="X101" s="274">
        <v>0</v>
      </c>
      <c r="Y101" s="275">
        <f>X101/S101</f>
        <v>0</v>
      </c>
      <c r="Z101" s="274">
        <v>418987.67226999998</v>
      </c>
      <c r="AA101" s="274">
        <f>Z101-V101</f>
        <v>407776.48089000001</v>
      </c>
      <c r="AB101" s="274">
        <f>T101-V101</f>
        <v>0</v>
      </c>
      <c r="AC101" s="275">
        <f>AB101/S101</f>
        <v>0</v>
      </c>
      <c r="AD101" s="274">
        <v>0</v>
      </c>
      <c r="AE101" s="274">
        <v>0</v>
      </c>
      <c r="AF101" s="292">
        <f>AE101/S101</f>
        <v>0</v>
      </c>
      <c r="AG101" s="274">
        <v>0</v>
      </c>
      <c r="AH101" s="292">
        <f>AG101/S101</f>
        <v>0</v>
      </c>
      <c r="AI101" s="292"/>
      <c r="AJ101" s="290">
        <v>46501</v>
      </c>
      <c r="AK101" s="289" t="s">
        <v>353</v>
      </c>
      <c r="AL101" s="328" t="s">
        <v>798</v>
      </c>
      <c r="AM101" s="328">
        <v>46660</v>
      </c>
      <c r="AN101" s="286">
        <v>1432251.469</v>
      </c>
      <c r="AO101" s="286">
        <v>11211.191000000001</v>
      </c>
      <c r="AP101" s="269">
        <v>0</v>
      </c>
      <c r="AQ101" s="286">
        <v>84890.067999999999</v>
      </c>
      <c r="AR101" s="286">
        <v>1336150.21</v>
      </c>
      <c r="AS101" s="286">
        <v>0</v>
      </c>
      <c r="AT101" s="286">
        <v>0</v>
      </c>
      <c r="AU101" s="285">
        <v>0</v>
      </c>
      <c r="AV101" s="267">
        <f>AQ101-AD101</f>
        <v>84890.067999999999</v>
      </c>
      <c r="AW101" s="331" t="s">
        <v>799</v>
      </c>
      <c r="AX101" s="284" t="s">
        <v>800</v>
      </c>
    </row>
    <row r="102" spans="1:50" ht="249.95" customHeight="1" x14ac:dyDescent="0.2">
      <c r="A102" s="283">
        <v>79</v>
      </c>
      <c r="B102" s="283">
        <v>15</v>
      </c>
      <c r="C102" s="288" t="s">
        <v>346</v>
      </c>
      <c r="D102" s="288" t="s">
        <v>801</v>
      </c>
      <c r="E102" s="298" t="s">
        <v>802</v>
      </c>
      <c r="F102" s="296">
        <v>0.42</v>
      </c>
      <c r="G102" s="296">
        <v>101.14</v>
      </c>
      <c r="H102" s="297" t="s">
        <v>803</v>
      </c>
      <c r="I102" s="296" t="s">
        <v>804</v>
      </c>
      <c r="J102" s="295" t="s">
        <v>766</v>
      </c>
      <c r="K102" s="330"/>
      <c r="L102" s="330"/>
      <c r="M102" s="329"/>
      <c r="N102" s="333"/>
      <c r="O102" s="333"/>
      <c r="P102" s="341">
        <v>46291</v>
      </c>
      <c r="Q102" s="328"/>
      <c r="R102" s="275"/>
      <c r="S102" s="274">
        <v>1146917.03737</v>
      </c>
      <c r="T102" s="274">
        <v>64387.453329999997</v>
      </c>
      <c r="U102" s="275">
        <f>T102/S102</f>
        <v>5.61395909486593E-2</v>
      </c>
      <c r="V102" s="274">
        <v>64387.453329999997</v>
      </c>
      <c r="W102" s="275">
        <f>V102/S102</f>
        <v>5.61395909486593E-2</v>
      </c>
      <c r="X102" s="274">
        <v>0</v>
      </c>
      <c r="Y102" s="275">
        <f>X102/S102</f>
        <v>0</v>
      </c>
      <c r="Z102" s="274">
        <v>344075.11121</v>
      </c>
      <c r="AA102" s="274">
        <f>Z102-V102</f>
        <v>279687.65788000001</v>
      </c>
      <c r="AB102" s="274">
        <f>T102-V102</f>
        <v>0</v>
      </c>
      <c r="AC102" s="275">
        <f>AB102/S102</f>
        <v>0</v>
      </c>
      <c r="AD102" s="274">
        <v>39749.995790000001</v>
      </c>
      <c r="AE102" s="274">
        <v>0</v>
      </c>
      <c r="AF102" s="292">
        <f>AE102/S102</f>
        <v>0</v>
      </c>
      <c r="AG102" s="274">
        <v>0</v>
      </c>
      <c r="AH102" s="292">
        <f>AG102/S102</f>
        <v>0</v>
      </c>
      <c r="AI102" s="292"/>
      <c r="AJ102" s="290">
        <v>46725</v>
      </c>
      <c r="AK102" s="289" t="s">
        <v>353</v>
      </c>
      <c r="AL102" s="288" t="s">
        <v>805</v>
      </c>
      <c r="AM102" s="287">
        <v>46721</v>
      </c>
      <c r="AN102" s="286">
        <v>1207834.003</v>
      </c>
      <c r="AO102" s="303">
        <v>53509.665000000001</v>
      </c>
      <c r="AP102" s="269">
        <v>24637.457999999999</v>
      </c>
      <c r="AQ102" s="286">
        <v>124894.701</v>
      </c>
      <c r="AR102" s="286">
        <v>1004792.179</v>
      </c>
      <c r="AS102" s="286">
        <v>0</v>
      </c>
      <c r="AT102" s="286">
        <v>0</v>
      </c>
      <c r="AU102" s="285">
        <v>0</v>
      </c>
      <c r="AV102" s="267">
        <f>AQ102-AD102</f>
        <v>85144.70521</v>
      </c>
      <c r="AW102" s="331" t="s">
        <v>806</v>
      </c>
      <c r="AX102" s="284" t="s">
        <v>807</v>
      </c>
    </row>
    <row r="103" spans="1:50" ht="249.95" customHeight="1" x14ac:dyDescent="0.2">
      <c r="A103" s="283">
        <v>80</v>
      </c>
      <c r="B103" s="283">
        <v>16</v>
      </c>
      <c r="C103" s="271" t="s">
        <v>423</v>
      </c>
      <c r="D103" s="337" t="s">
        <v>790</v>
      </c>
      <c r="E103" s="336" t="s">
        <v>808</v>
      </c>
      <c r="F103" s="335"/>
      <c r="G103" s="335"/>
      <c r="H103" s="280"/>
      <c r="I103" s="335"/>
      <c r="J103" s="334"/>
      <c r="K103" s="330"/>
      <c r="L103" s="330"/>
      <c r="M103" s="329"/>
      <c r="N103" s="276"/>
      <c r="O103" s="276"/>
      <c r="P103" s="275"/>
      <c r="Q103" s="275"/>
      <c r="R103" s="275"/>
      <c r="S103" s="274"/>
      <c r="T103" s="274"/>
      <c r="U103" s="275"/>
      <c r="V103" s="274"/>
      <c r="W103" s="275"/>
      <c r="X103" s="274"/>
      <c r="Y103" s="275"/>
      <c r="Z103" s="274"/>
      <c r="AA103" s="274"/>
      <c r="AB103" s="274"/>
      <c r="AC103" s="275"/>
      <c r="AD103" s="274"/>
      <c r="AE103" s="274"/>
      <c r="AF103" s="275"/>
      <c r="AG103" s="274"/>
      <c r="AH103" s="275"/>
      <c r="AI103" s="275"/>
      <c r="AJ103" s="273"/>
      <c r="AK103" s="272" t="s">
        <v>575</v>
      </c>
      <c r="AL103" s="328" t="s">
        <v>809</v>
      </c>
      <c r="AM103" s="328">
        <v>46568</v>
      </c>
      <c r="AN103" s="269">
        <v>837246.53199999989</v>
      </c>
      <c r="AO103" s="299">
        <v>12588.267</v>
      </c>
      <c r="AP103" s="299">
        <v>34282.584999999999</v>
      </c>
      <c r="AQ103" s="299">
        <v>100000</v>
      </c>
      <c r="AR103" s="299">
        <v>690375.68000000005</v>
      </c>
      <c r="AS103" s="299">
        <v>0</v>
      </c>
      <c r="AT103" s="299">
        <v>0</v>
      </c>
      <c r="AU103" s="268">
        <v>0</v>
      </c>
      <c r="AV103" s="267">
        <f>AQ103-AD103</f>
        <v>100000</v>
      </c>
      <c r="AW103" s="266"/>
      <c r="AX103" s="266"/>
    </row>
    <row r="104" spans="1:50" ht="249.95" customHeight="1" x14ac:dyDescent="0.2">
      <c r="A104" s="283">
        <v>81</v>
      </c>
      <c r="B104" s="283">
        <v>17</v>
      </c>
      <c r="C104" s="288" t="s">
        <v>346</v>
      </c>
      <c r="D104" s="300" t="s">
        <v>572</v>
      </c>
      <c r="E104" s="308" t="s">
        <v>810</v>
      </c>
      <c r="F104" s="307">
        <v>1</v>
      </c>
      <c r="G104" s="307"/>
      <c r="H104" s="297">
        <v>45896</v>
      </c>
      <c r="I104" s="307" t="s">
        <v>811</v>
      </c>
      <c r="J104" s="306" t="s">
        <v>552</v>
      </c>
      <c r="K104" s="330"/>
      <c r="L104" s="330"/>
      <c r="M104" s="329"/>
      <c r="N104" s="333"/>
      <c r="O104" s="333"/>
      <c r="P104" s="332">
        <v>46352</v>
      </c>
      <c r="Q104" s="310"/>
      <c r="R104" s="275"/>
      <c r="S104" s="274">
        <v>700000</v>
      </c>
      <c r="T104" s="274">
        <v>6900</v>
      </c>
      <c r="U104" s="275">
        <f>T104/S104</f>
        <v>9.8571428571428577E-3</v>
      </c>
      <c r="V104" s="274">
        <v>6900</v>
      </c>
      <c r="W104" s="275">
        <f>V104/S104</f>
        <v>9.8571428571428577E-3</v>
      </c>
      <c r="X104" s="274">
        <v>0</v>
      </c>
      <c r="Y104" s="275">
        <f>X104/S104</f>
        <v>0</v>
      </c>
      <c r="Z104" s="274">
        <v>210000</v>
      </c>
      <c r="AA104" s="274">
        <f>Z104-V104</f>
        <v>203100</v>
      </c>
      <c r="AB104" s="274">
        <f>T104-V104</f>
        <v>0</v>
      </c>
      <c r="AC104" s="275">
        <f>AB104/S104</f>
        <v>0</v>
      </c>
      <c r="AD104" s="274">
        <v>0</v>
      </c>
      <c r="AE104" s="274">
        <v>0</v>
      </c>
      <c r="AF104" s="292">
        <f>AE104/S104</f>
        <v>0</v>
      </c>
      <c r="AG104" s="274">
        <v>0</v>
      </c>
      <c r="AH104" s="292">
        <f>AG104/S104</f>
        <v>0</v>
      </c>
      <c r="AI104" s="292"/>
      <c r="AJ104" s="273">
        <v>47072</v>
      </c>
      <c r="AK104" s="289" t="s">
        <v>353</v>
      </c>
      <c r="AL104" s="328" t="s">
        <v>812</v>
      </c>
      <c r="AM104" s="305">
        <v>46994</v>
      </c>
      <c r="AN104" s="303">
        <v>710000</v>
      </c>
      <c r="AO104" s="303">
        <v>0</v>
      </c>
      <c r="AP104" s="299">
        <v>6900</v>
      </c>
      <c r="AQ104" s="299">
        <v>16100</v>
      </c>
      <c r="AR104" s="299">
        <v>100000</v>
      </c>
      <c r="AS104" s="299">
        <v>587000</v>
      </c>
      <c r="AT104" s="299">
        <v>0</v>
      </c>
      <c r="AU104" s="268">
        <v>0</v>
      </c>
      <c r="AV104" s="267">
        <f>AQ104-AD104</f>
        <v>16100</v>
      </c>
      <c r="AW104" s="331" t="s">
        <v>813</v>
      </c>
      <c r="AX104" s="284" t="s">
        <v>814</v>
      </c>
    </row>
    <row r="105" spans="1:50" ht="249.95" customHeight="1" x14ac:dyDescent="0.2">
      <c r="A105" s="283">
        <v>82</v>
      </c>
      <c r="B105" s="283">
        <v>18</v>
      </c>
      <c r="C105" s="288" t="s">
        <v>431</v>
      </c>
      <c r="D105" s="300" t="s">
        <v>815</v>
      </c>
      <c r="E105" s="308" t="s">
        <v>52</v>
      </c>
      <c r="F105" s="307"/>
      <c r="G105" s="307"/>
      <c r="H105" s="297">
        <v>45751</v>
      </c>
      <c r="I105" s="307" t="s">
        <v>816</v>
      </c>
      <c r="J105" s="306" t="s">
        <v>435</v>
      </c>
      <c r="K105" s="330"/>
      <c r="L105" s="330"/>
      <c r="M105" s="329"/>
      <c r="N105" s="333"/>
      <c r="O105" s="333"/>
      <c r="P105" s="340">
        <v>45040</v>
      </c>
      <c r="Q105" s="328"/>
      <c r="R105" s="275"/>
      <c r="S105" s="274">
        <v>612447.42194999999</v>
      </c>
      <c r="T105" s="274">
        <v>0</v>
      </c>
      <c r="U105" s="275">
        <f>T105/S105</f>
        <v>0</v>
      </c>
      <c r="V105" s="274">
        <v>0</v>
      </c>
      <c r="W105" s="275">
        <f>V105/S105</f>
        <v>0</v>
      </c>
      <c r="X105" s="274">
        <v>0</v>
      </c>
      <c r="Y105" s="275">
        <f>X105/S105</f>
        <v>0</v>
      </c>
      <c r="Z105" s="274">
        <v>306223.71097999997</v>
      </c>
      <c r="AA105" s="274">
        <f>Z105-V105</f>
        <v>306223.71097999997</v>
      </c>
      <c r="AB105" s="274">
        <f>T105-V105</f>
        <v>0</v>
      </c>
      <c r="AC105" s="275">
        <f>AB105/S105</f>
        <v>0</v>
      </c>
      <c r="AD105" s="274">
        <v>0</v>
      </c>
      <c r="AE105" s="274">
        <v>0</v>
      </c>
      <c r="AF105" s="292">
        <f>AE105/S105</f>
        <v>0</v>
      </c>
      <c r="AG105" s="274">
        <v>0</v>
      </c>
      <c r="AH105" s="292">
        <f>AG105/S105</f>
        <v>0</v>
      </c>
      <c r="AI105" s="292"/>
      <c r="AJ105" s="290">
        <v>46356</v>
      </c>
      <c r="AK105" s="272" t="s">
        <v>353</v>
      </c>
      <c r="AL105" s="328" t="s">
        <v>817</v>
      </c>
      <c r="AM105" s="287">
        <v>46646</v>
      </c>
      <c r="AN105" s="286">
        <v>650784.46500000008</v>
      </c>
      <c r="AO105" s="303">
        <v>21544.245999999999</v>
      </c>
      <c r="AP105" s="299">
        <v>0</v>
      </c>
      <c r="AQ105" s="303">
        <v>200000</v>
      </c>
      <c r="AR105" s="303">
        <v>429240.21900000004</v>
      </c>
      <c r="AS105" s="303">
        <v>0</v>
      </c>
      <c r="AT105" s="303">
        <v>0</v>
      </c>
      <c r="AU105" s="285">
        <v>0</v>
      </c>
      <c r="AV105" s="267">
        <f>AQ105-AD105</f>
        <v>200000</v>
      </c>
      <c r="AW105" s="331" t="s">
        <v>818</v>
      </c>
      <c r="AX105" s="284" t="s">
        <v>819</v>
      </c>
    </row>
    <row r="106" spans="1:50" ht="249.95" customHeight="1" x14ac:dyDescent="0.2">
      <c r="A106" s="283">
        <v>83</v>
      </c>
      <c r="B106" s="283">
        <v>19</v>
      </c>
      <c r="C106" s="288" t="s">
        <v>346</v>
      </c>
      <c r="D106" s="300" t="s">
        <v>728</v>
      </c>
      <c r="E106" s="308" t="s">
        <v>820</v>
      </c>
      <c r="F106" s="307">
        <v>0.88</v>
      </c>
      <c r="G106" s="307"/>
      <c r="H106" s="297">
        <v>45562</v>
      </c>
      <c r="I106" s="307" t="s">
        <v>821</v>
      </c>
      <c r="J106" s="306" t="s">
        <v>822</v>
      </c>
      <c r="K106" s="330"/>
      <c r="L106" s="330"/>
      <c r="M106" s="329"/>
      <c r="N106" s="333"/>
      <c r="O106" s="333"/>
      <c r="P106" s="340">
        <v>45869</v>
      </c>
      <c r="Q106" s="339"/>
      <c r="R106" s="275"/>
      <c r="S106" s="274">
        <v>497089.33120999997</v>
      </c>
      <c r="T106" s="274">
        <v>81270.170079999996</v>
      </c>
      <c r="U106" s="275">
        <f>T106/S106</f>
        <v>0.16349208276543489</v>
      </c>
      <c r="V106" s="274">
        <v>48690.812669999999</v>
      </c>
      <c r="W106" s="275">
        <f>V106/S106</f>
        <v>9.7951836044194066E-2</v>
      </c>
      <c r="X106" s="274">
        <v>35068.041060000003</v>
      </c>
      <c r="Y106" s="275">
        <f>X106/S106</f>
        <v>7.0546758617084829E-2</v>
      </c>
      <c r="Z106" s="274">
        <v>48690.812680000003</v>
      </c>
      <c r="AA106" s="274">
        <f>Z106-V106</f>
        <v>1.0000003385357559E-5</v>
      </c>
      <c r="AB106" s="274">
        <f>T106-V106</f>
        <v>32579.357409999997</v>
      </c>
      <c r="AC106" s="275">
        <f>AB106/S106</f>
        <v>6.5540246721240827E-2</v>
      </c>
      <c r="AD106" s="274">
        <v>0</v>
      </c>
      <c r="AE106" s="274">
        <v>0</v>
      </c>
      <c r="AF106" s="292">
        <f>AE106/S106</f>
        <v>0</v>
      </c>
      <c r="AG106" s="274">
        <v>0</v>
      </c>
      <c r="AH106" s="292">
        <f>AG106/S106</f>
        <v>0</v>
      </c>
      <c r="AI106" s="292"/>
      <c r="AJ106" s="290">
        <v>46387</v>
      </c>
      <c r="AK106" s="289" t="s">
        <v>353</v>
      </c>
      <c r="AL106" s="337" t="s">
        <v>823</v>
      </c>
      <c r="AM106" s="328">
        <v>46741</v>
      </c>
      <c r="AN106" s="299">
        <v>648049.15</v>
      </c>
      <c r="AO106" s="299">
        <v>2488.6840000000002</v>
      </c>
      <c r="AP106" s="299">
        <v>84040.656000000003</v>
      </c>
      <c r="AQ106" s="299">
        <v>181000</v>
      </c>
      <c r="AR106" s="299">
        <v>380519.81000000006</v>
      </c>
      <c r="AS106" s="303">
        <v>0</v>
      </c>
      <c r="AT106" s="303">
        <v>0</v>
      </c>
      <c r="AU106" s="285">
        <v>0</v>
      </c>
      <c r="AV106" s="267">
        <f>AQ106-AD106</f>
        <v>181000</v>
      </c>
      <c r="AW106" s="331" t="s">
        <v>824</v>
      </c>
      <c r="AX106" s="284" t="s">
        <v>825</v>
      </c>
    </row>
    <row r="107" spans="1:50" ht="407.25" customHeight="1" x14ac:dyDescent="0.2">
      <c r="A107" s="283">
        <v>84</v>
      </c>
      <c r="B107" s="283">
        <v>20</v>
      </c>
      <c r="C107" s="288" t="s">
        <v>346</v>
      </c>
      <c r="D107" s="300" t="s">
        <v>396</v>
      </c>
      <c r="E107" s="308" t="s">
        <v>290</v>
      </c>
      <c r="F107" s="307">
        <v>1</v>
      </c>
      <c r="G107" s="307"/>
      <c r="H107" s="297">
        <v>46069</v>
      </c>
      <c r="I107" s="307" t="s">
        <v>826</v>
      </c>
      <c r="J107" s="306" t="s">
        <v>827</v>
      </c>
      <c r="K107" s="330"/>
      <c r="L107" s="330"/>
      <c r="M107" s="329"/>
      <c r="N107" s="333"/>
      <c r="O107" s="333"/>
      <c r="P107" s="338" t="s">
        <v>828</v>
      </c>
      <c r="Q107" s="337"/>
      <c r="R107" s="275"/>
      <c r="S107" s="274">
        <v>620448.08921000001</v>
      </c>
      <c r="T107" s="274">
        <v>7161.5878700000003</v>
      </c>
      <c r="U107" s="275">
        <f>T107/S107</f>
        <v>1.1542606052858763E-2</v>
      </c>
      <c r="V107" s="274">
        <v>7161.5878700000003</v>
      </c>
      <c r="W107" s="275">
        <f>V107/S107</f>
        <v>1.1542606052858763E-2</v>
      </c>
      <c r="X107" s="274">
        <v>0</v>
      </c>
      <c r="Y107" s="275">
        <f>X107/S107</f>
        <v>0</v>
      </c>
      <c r="Z107" s="274">
        <v>186134.42676</v>
      </c>
      <c r="AA107" s="274">
        <f>Z107-V107</f>
        <v>178972.83889000001</v>
      </c>
      <c r="AB107" s="274">
        <f>T107-V107</f>
        <v>0</v>
      </c>
      <c r="AC107" s="275">
        <f>AB107/S107</f>
        <v>0</v>
      </c>
      <c r="AD107" s="274">
        <v>7161.5878700000003</v>
      </c>
      <c r="AE107" s="274">
        <v>7161.5878700000003</v>
      </c>
      <c r="AF107" s="292">
        <f>AE107/S107</f>
        <v>1.1542606052858763E-2</v>
      </c>
      <c r="AG107" s="274">
        <v>0</v>
      </c>
      <c r="AH107" s="292">
        <f>AG107/S107</f>
        <v>0</v>
      </c>
      <c r="AI107" s="292"/>
      <c r="AJ107" s="273">
        <v>47117</v>
      </c>
      <c r="AK107" s="289" t="s">
        <v>353</v>
      </c>
      <c r="AL107" s="328" t="s">
        <v>689</v>
      </c>
      <c r="AM107" s="305">
        <v>47036</v>
      </c>
      <c r="AN107" s="303">
        <v>640000</v>
      </c>
      <c r="AO107" s="303">
        <v>0</v>
      </c>
      <c r="AP107" s="299">
        <v>0</v>
      </c>
      <c r="AQ107" s="299">
        <v>40000</v>
      </c>
      <c r="AR107" s="299">
        <v>100000</v>
      </c>
      <c r="AS107" s="299">
        <v>500000</v>
      </c>
      <c r="AT107" s="299">
        <v>0</v>
      </c>
      <c r="AU107" s="268">
        <v>0</v>
      </c>
      <c r="AV107" s="267">
        <f>AQ107-AD107</f>
        <v>32838.412129999997</v>
      </c>
      <c r="AW107" s="331" t="s">
        <v>829</v>
      </c>
      <c r="AX107" s="284" t="s">
        <v>830</v>
      </c>
    </row>
    <row r="108" spans="1:50" ht="249.95" customHeight="1" x14ac:dyDescent="0.2">
      <c r="A108" s="283">
        <v>85</v>
      </c>
      <c r="B108" s="283">
        <v>21</v>
      </c>
      <c r="C108" s="288" t="s">
        <v>743</v>
      </c>
      <c r="D108" s="337" t="s">
        <v>396</v>
      </c>
      <c r="E108" s="336" t="s">
        <v>831</v>
      </c>
      <c r="F108" s="335"/>
      <c r="G108" s="335"/>
      <c r="H108" s="297"/>
      <c r="I108" s="335"/>
      <c r="J108" s="334"/>
      <c r="K108" s="330"/>
      <c r="L108" s="330"/>
      <c r="M108" s="329"/>
      <c r="N108" s="276"/>
      <c r="O108" s="276"/>
      <c r="P108" s="275"/>
      <c r="Q108" s="275"/>
      <c r="R108" s="275"/>
      <c r="S108" s="274"/>
      <c r="T108" s="274"/>
      <c r="U108" s="275"/>
      <c r="V108" s="274"/>
      <c r="W108" s="275"/>
      <c r="X108" s="274"/>
      <c r="Y108" s="275"/>
      <c r="Z108" s="274"/>
      <c r="AA108" s="274"/>
      <c r="AB108" s="274"/>
      <c r="AC108" s="275"/>
      <c r="AD108" s="274"/>
      <c r="AE108" s="274"/>
      <c r="AF108" s="274"/>
      <c r="AG108" s="274"/>
      <c r="AH108" s="274"/>
      <c r="AI108" s="274"/>
      <c r="AJ108" s="273"/>
      <c r="AK108" s="272" t="s">
        <v>353</v>
      </c>
      <c r="AL108" s="328" t="s">
        <v>832</v>
      </c>
      <c r="AM108" s="305">
        <v>47027</v>
      </c>
      <c r="AN108" s="303">
        <v>635764.69299999997</v>
      </c>
      <c r="AO108" s="303">
        <v>0</v>
      </c>
      <c r="AP108" s="299">
        <v>0</v>
      </c>
      <c r="AQ108" s="299">
        <v>50000</v>
      </c>
      <c r="AR108" s="299">
        <v>100000</v>
      </c>
      <c r="AS108" s="299">
        <v>485764.69299999997</v>
      </c>
      <c r="AT108" s="299">
        <v>0</v>
      </c>
      <c r="AU108" s="268">
        <v>0</v>
      </c>
      <c r="AV108" s="267">
        <f>AQ108-AD108</f>
        <v>50000</v>
      </c>
      <c r="AW108" s="284"/>
      <c r="AX108" s="284"/>
    </row>
    <row r="109" spans="1:50" ht="249.95" customHeight="1" x14ac:dyDescent="0.2">
      <c r="A109" s="283">
        <v>86</v>
      </c>
      <c r="B109" s="283">
        <v>22</v>
      </c>
      <c r="C109" s="288" t="s">
        <v>431</v>
      </c>
      <c r="D109" s="337" t="s">
        <v>447</v>
      </c>
      <c r="E109" s="336" t="s">
        <v>833</v>
      </c>
      <c r="F109" s="335"/>
      <c r="G109" s="335"/>
      <c r="H109" s="335"/>
      <c r="I109" s="335"/>
      <c r="J109" s="334"/>
      <c r="K109" s="330"/>
      <c r="L109" s="330"/>
      <c r="M109" s="329"/>
      <c r="N109" s="276"/>
      <c r="O109" s="276"/>
      <c r="P109" s="275"/>
      <c r="Q109" s="275"/>
      <c r="R109" s="275"/>
      <c r="S109" s="274"/>
      <c r="T109" s="274"/>
      <c r="U109" s="275"/>
      <c r="V109" s="274"/>
      <c r="W109" s="275"/>
      <c r="X109" s="274"/>
      <c r="Y109" s="275"/>
      <c r="Z109" s="274"/>
      <c r="AA109" s="274"/>
      <c r="AB109" s="274"/>
      <c r="AC109" s="275"/>
      <c r="AD109" s="274"/>
      <c r="AE109" s="274"/>
      <c r="AF109" s="292"/>
      <c r="AG109" s="274"/>
      <c r="AH109" s="292"/>
      <c r="AI109" s="292"/>
      <c r="AJ109" s="290"/>
      <c r="AK109" s="272" t="s">
        <v>353</v>
      </c>
      <c r="AL109" s="328" t="s">
        <v>834</v>
      </c>
      <c r="AM109" s="328">
        <v>46684</v>
      </c>
      <c r="AN109" s="269">
        <v>595000</v>
      </c>
      <c r="AO109" s="299">
        <v>0</v>
      </c>
      <c r="AP109" s="299">
        <v>0</v>
      </c>
      <c r="AQ109" s="299">
        <v>35000</v>
      </c>
      <c r="AR109" s="299">
        <v>560000</v>
      </c>
      <c r="AS109" s="299">
        <v>0</v>
      </c>
      <c r="AT109" s="303">
        <v>0</v>
      </c>
      <c r="AU109" s="285">
        <v>0</v>
      </c>
      <c r="AV109" s="267">
        <f>AQ109-AD109</f>
        <v>35000</v>
      </c>
      <c r="AW109" s="284"/>
      <c r="AX109" s="284"/>
    </row>
    <row r="110" spans="1:50" ht="392.25" customHeight="1" x14ac:dyDescent="0.2">
      <c r="A110" s="283">
        <v>87</v>
      </c>
      <c r="B110" s="283">
        <v>23</v>
      </c>
      <c r="C110" s="288" t="s">
        <v>346</v>
      </c>
      <c r="D110" s="300" t="s">
        <v>835</v>
      </c>
      <c r="E110" s="308" t="s">
        <v>146</v>
      </c>
      <c r="F110" s="307">
        <v>0.5</v>
      </c>
      <c r="G110" s="307"/>
      <c r="H110" s="297">
        <v>45931</v>
      </c>
      <c r="I110" s="307" t="s">
        <v>836</v>
      </c>
      <c r="J110" s="306" t="s">
        <v>410</v>
      </c>
      <c r="K110" s="330"/>
      <c r="L110" s="330"/>
      <c r="M110" s="329"/>
      <c r="N110" s="333"/>
      <c r="O110" s="333"/>
      <c r="P110" s="332">
        <v>46321</v>
      </c>
      <c r="Q110" s="310"/>
      <c r="R110" s="275"/>
      <c r="S110" s="274">
        <v>526797.76699999999</v>
      </c>
      <c r="T110" s="274">
        <v>8239.5405100000007</v>
      </c>
      <c r="U110" s="275">
        <f>T110/S110</f>
        <v>1.5640803788752582E-2</v>
      </c>
      <c r="V110" s="274">
        <v>8239.5405100000007</v>
      </c>
      <c r="W110" s="275">
        <f>V110/S110</f>
        <v>1.5640803788752582E-2</v>
      </c>
      <c r="X110" s="274">
        <v>0</v>
      </c>
      <c r="Y110" s="275">
        <f>X110/S110</f>
        <v>0</v>
      </c>
      <c r="Z110" s="274">
        <v>158039.33009999999</v>
      </c>
      <c r="AA110" s="274">
        <f>Z110-V110</f>
        <v>149799.78959</v>
      </c>
      <c r="AB110" s="274">
        <f>T110-V110</f>
        <v>0</v>
      </c>
      <c r="AC110" s="275">
        <f>AB110/S110</f>
        <v>0</v>
      </c>
      <c r="AD110" s="274">
        <v>0</v>
      </c>
      <c r="AE110" s="274">
        <v>0</v>
      </c>
      <c r="AF110" s="292">
        <f>AE110/S110</f>
        <v>0</v>
      </c>
      <c r="AG110" s="274">
        <v>0</v>
      </c>
      <c r="AH110" s="292">
        <f>AG110/S110</f>
        <v>0</v>
      </c>
      <c r="AI110" s="292"/>
      <c r="AJ110" s="290">
        <v>46747</v>
      </c>
      <c r="AK110" s="289" t="s">
        <v>353</v>
      </c>
      <c r="AL110" s="328" t="s">
        <v>542</v>
      </c>
      <c r="AM110" s="327">
        <v>46744</v>
      </c>
      <c r="AN110" s="299">
        <v>530000</v>
      </c>
      <c r="AO110" s="299">
        <v>0</v>
      </c>
      <c r="AP110" s="299">
        <v>8239.5409999999993</v>
      </c>
      <c r="AQ110" s="299">
        <v>21760.459000000003</v>
      </c>
      <c r="AR110" s="299">
        <v>100000</v>
      </c>
      <c r="AS110" s="303">
        <v>400000</v>
      </c>
      <c r="AT110" s="303">
        <v>0</v>
      </c>
      <c r="AU110" s="285">
        <v>0</v>
      </c>
      <c r="AV110" s="267">
        <f>AQ110-AD110</f>
        <v>21760.459000000003</v>
      </c>
      <c r="AW110" s="331" t="s">
        <v>837</v>
      </c>
      <c r="AX110" s="284" t="s">
        <v>838</v>
      </c>
    </row>
    <row r="111" spans="1:50" ht="328.5" customHeight="1" x14ac:dyDescent="0.2">
      <c r="A111" s="283">
        <v>88</v>
      </c>
      <c r="B111" s="283">
        <v>24</v>
      </c>
      <c r="C111" s="288" t="s">
        <v>346</v>
      </c>
      <c r="D111" s="300" t="s">
        <v>424</v>
      </c>
      <c r="E111" s="308" t="s">
        <v>839</v>
      </c>
      <c r="F111" s="307">
        <v>1</v>
      </c>
      <c r="G111" s="307"/>
      <c r="H111" s="297"/>
      <c r="I111" s="307"/>
      <c r="J111" s="306"/>
      <c r="K111" s="330"/>
      <c r="L111" s="330"/>
      <c r="M111" s="329"/>
      <c r="N111" s="293"/>
      <c r="O111" s="293"/>
      <c r="P111" s="292"/>
      <c r="Q111" s="275"/>
      <c r="R111" s="275"/>
      <c r="S111" s="274"/>
      <c r="T111" s="274"/>
      <c r="U111" s="275"/>
      <c r="V111" s="274"/>
      <c r="W111" s="275"/>
      <c r="X111" s="274"/>
      <c r="Y111" s="275"/>
      <c r="Z111" s="274"/>
      <c r="AA111" s="274"/>
      <c r="AB111" s="274"/>
      <c r="AC111" s="275"/>
      <c r="AD111" s="274"/>
      <c r="AE111" s="274"/>
      <c r="AF111" s="292"/>
      <c r="AG111" s="274"/>
      <c r="AH111" s="292"/>
      <c r="AI111" s="292"/>
      <c r="AJ111" s="290"/>
      <c r="AK111" s="289"/>
      <c r="AL111" s="328"/>
      <c r="AM111" s="327">
        <v>46744</v>
      </c>
      <c r="AN111" s="299">
        <v>500000</v>
      </c>
      <c r="AO111" s="299">
        <v>0</v>
      </c>
      <c r="AP111" s="299">
        <v>0</v>
      </c>
      <c r="AQ111" s="299">
        <v>30000</v>
      </c>
      <c r="AR111" s="299">
        <v>470000</v>
      </c>
      <c r="AS111" s="303">
        <v>0</v>
      </c>
      <c r="AT111" s="303">
        <v>0</v>
      </c>
      <c r="AU111" s="303">
        <v>0</v>
      </c>
      <c r="AV111" s="267">
        <f>AQ111-AD111</f>
        <v>30000</v>
      </c>
      <c r="AW111" s="284"/>
      <c r="AX111" s="284"/>
    </row>
    <row r="112" spans="1:50" ht="49.5" customHeight="1" x14ac:dyDescent="0.2">
      <c r="A112" s="326">
        <v>2030</v>
      </c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  <c r="AA112" s="325"/>
      <c r="AB112" s="325"/>
      <c r="AC112" s="325"/>
      <c r="AD112" s="325"/>
      <c r="AE112" s="325"/>
      <c r="AF112" s="325"/>
      <c r="AG112" s="325"/>
      <c r="AH112" s="325"/>
      <c r="AI112" s="325"/>
      <c r="AJ112" s="325"/>
      <c r="AK112" s="325"/>
      <c r="AL112" s="325"/>
      <c r="AM112" s="325"/>
      <c r="AN112" s="325"/>
      <c r="AO112" s="325"/>
      <c r="AP112" s="325"/>
      <c r="AQ112" s="325"/>
      <c r="AR112" s="325"/>
      <c r="AS112" s="325"/>
      <c r="AT112" s="325"/>
      <c r="AU112" s="325"/>
      <c r="AV112" s="324"/>
      <c r="AW112" s="284"/>
      <c r="AX112" s="284"/>
    </row>
    <row r="113" spans="1:50" ht="99.75" customHeight="1" x14ac:dyDescent="0.2">
      <c r="A113" s="323"/>
      <c r="B113" s="323"/>
      <c r="C113" s="322"/>
      <c r="D113" s="321"/>
      <c r="E113" s="320"/>
      <c r="F113" s="319"/>
      <c r="G113" s="319"/>
      <c r="H113" s="319"/>
      <c r="I113" s="319"/>
      <c r="J113" s="315"/>
      <c r="K113" s="318"/>
      <c r="L113" s="318"/>
      <c r="M113" s="317"/>
      <c r="N113" s="317"/>
      <c r="O113" s="317"/>
      <c r="P113" s="316"/>
      <c r="Q113" s="316"/>
      <c r="R113" s="316"/>
      <c r="S113" s="299">
        <f>SUM(S114:S155)</f>
        <v>0</v>
      </c>
      <c r="T113" s="299">
        <f>SUM(T114:T155)</f>
        <v>0</v>
      </c>
      <c r="U113" s="316">
        <v>0</v>
      </c>
      <c r="V113" s="299">
        <f>SUM(V114:V155)</f>
        <v>0</v>
      </c>
      <c r="W113" s="316">
        <f>V113</f>
        <v>0</v>
      </c>
      <c r="X113" s="299">
        <f>SUM(X114:X155)</f>
        <v>0</v>
      </c>
      <c r="Y113" s="316">
        <v>0</v>
      </c>
      <c r="Z113" s="299">
        <f>SUM(Z114:Z155)</f>
        <v>0</v>
      </c>
      <c r="AA113" s="299">
        <f>SUM(AA114:AA155)</f>
        <v>0</v>
      </c>
      <c r="AB113" s="299">
        <f>SUM(AB114:AB155)</f>
        <v>0</v>
      </c>
      <c r="AC113" s="299">
        <v>0</v>
      </c>
      <c r="AD113" s="316">
        <v>0</v>
      </c>
      <c r="AE113" s="299">
        <f>SUM(AE114:AE153)</f>
        <v>0</v>
      </c>
      <c r="AF113" s="316">
        <v>0</v>
      </c>
      <c r="AG113" s="299">
        <f>SUM(AG114:AG153)</f>
        <v>0</v>
      </c>
      <c r="AH113" s="316">
        <v>0</v>
      </c>
      <c r="AI113" s="316"/>
      <c r="AJ113" s="315"/>
      <c r="AK113" s="314"/>
      <c r="AL113" s="313"/>
      <c r="AM113" s="313"/>
      <c r="AN113" s="299">
        <f>SUM(AN114:AN153)</f>
        <v>189878819.23444003</v>
      </c>
      <c r="AO113" s="299">
        <f>SUM(AO114:AO153)</f>
        <v>7164195.9910000004</v>
      </c>
      <c r="AP113" s="299">
        <f>SUM(AP114:AP153)</f>
        <v>168991.06100000086</v>
      </c>
      <c r="AQ113" s="299">
        <f>SUM(AQ114:AQ153)</f>
        <v>9550805.6639999989</v>
      </c>
      <c r="AR113" s="299">
        <f>SUM(AR114:AR153)</f>
        <v>12110188.024000002</v>
      </c>
      <c r="AS113" s="299">
        <f>SUM(AS114:AS153)</f>
        <v>1926178.6760000007</v>
      </c>
      <c r="AT113" s="299">
        <f>SUM(AT114:AT153)</f>
        <v>2336029.6670000013</v>
      </c>
      <c r="AU113" s="299">
        <f>SUM(AU114:AU153)</f>
        <v>185231643.93544</v>
      </c>
      <c r="AV113" s="312">
        <f>SUM(AV114:AV153)</f>
        <v>9550805.6639999989</v>
      </c>
      <c r="AW113" s="284"/>
      <c r="AX113" s="284"/>
    </row>
    <row r="114" spans="1:50" ht="150" customHeight="1" x14ac:dyDescent="0.2">
      <c r="A114" s="282">
        <v>89</v>
      </c>
      <c r="B114" s="282">
        <v>1</v>
      </c>
      <c r="C114" s="288" t="s">
        <v>840</v>
      </c>
      <c r="D114" s="288" t="s">
        <v>801</v>
      </c>
      <c r="E114" s="298" t="s">
        <v>841</v>
      </c>
      <c r="F114" s="296">
        <v>36.33</v>
      </c>
      <c r="G114" s="296"/>
      <c r="H114" s="297"/>
      <c r="I114" s="296"/>
      <c r="J114" s="295"/>
      <c r="K114" s="294"/>
      <c r="L114" s="294"/>
      <c r="M114" s="293"/>
      <c r="N114" s="293"/>
      <c r="O114" s="293"/>
      <c r="P114" s="292"/>
      <c r="Q114" s="275"/>
      <c r="R114" s="275"/>
      <c r="S114" s="291"/>
      <c r="T114" s="291"/>
      <c r="U114" s="292"/>
      <c r="V114" s="291"/>
      <c r="W114" s="292"/>
      <c r="X114" s="291"/>
      <c r="Y114" s="292"/>
      <c r="Z114" s="291"/>
      <c r="AA114" s="291"/>
      <c r="AB114" s="274"/>
      <c r="AC114" s="275"/>
      <c r="AD114" s="275"/>
      <c r="AE114" s="291"/>
      <c r="AF114" s="291"/>
      <c r="AG114" s="291"/>
      <c r="AH114" s="291"/>
      <c r="AI114" s="291"/>
      <c r="AJ114" s="290"/>
      <c r="AK114" s="289" t="s">
        <v>842</v>
      </c>
      <c r="AL114" s="288" t="s">
        <v>843</v>
      </c>
      <c r="AM114" s="287">
        <v>47848</v>
      </c>
      <c r="AN114" s="269">
        <v>47768016.799999997</v>
      </c>
      <c r="AO114" s="286">
        <v>491884.69400000002</v>
      </c>
      <c r="AP114" s="269">
        <v>44403.690999999999</v>
      </c>
      <c r="AQ114" s="286">
        <v>9169454.5999999996</v>
      </c>
      <c r="AR114" s="286">
        <v>11313131.4</v>
      </c>
      <c r="AS114" s="286">
        <v>450867.7</v>
      </c>
      <c r="AT114" s="286">
        <v>0</v>
      </c>
      <c r="AU114" s="285">
        <v>47231728.414999999</v>
      </c>
      <c r="AV114" s="267">
        <f>AQ114-AD114</f>
        <v>9169454.5999999996</v>
      </c>
      <c r="AW114" s="284"/>
      <c r="AX114" s="284"/>
    </row>
    <row r="115" spans="1:50" ht="150" customHeight="1" x14ac:dyDescent="0.2">
      <c r="A115" s="283">
        <v>90</v>
      </c>
      <c r="B115" s="283">
        <v>2</v>
      </c>
      <c r="C115" s="288" t="s">
        <v>346</v>
      </c>
      <c r="D115" s="288" t="s">
        <v>439</v>
      </c>
      <c r="E115" s="298" t="s">
        <v>844</v>
      </c>
      <c r="F115" s="296">
        <v>8.9</v>
      </c>
      <c r="G115" s="296"/>
      <c r="H115" s="297"/>
      <c r="I115" s="296"/>
      <c r="J115" s="295"/>
      <c r="K115" s="294"/>
      <c r="L115" s="294"/>
      <c r="M115" s="293"/>
      <c r="N115" s="293"/>
      <c r="O115" s="293"/>
      <c r="P115" s="311"/>
      <c r="Q115" s="310"/>
      <c r="R115" s="275"/>
      <c r="S115" s="291"/>
      <c r="T115" s="291"/>
      <c r="U115" s="292"/>
      <c r="V115" s="291"/>
      <c r="W115" s="292"/>
      <c r="X115" s="291"/>
      <c r="Y115" s="292"/>
      <c r="Z115" s="291"/>
      <c r="AA115" s="291"/>
      <c r="AB115" s="274"/>
      <c r="AC115" s="275"/>
      <c r="AD115" s="275"/>
      <c r="AE115" s="291"/>
      <c r="AF115" s="291"/>
      <c r="AG115" s="291"/>
      <c r="AH115" s="291"/>
      <c r="AI115" s="291"/>
      <c r="AJ115" s="290"/>
      <c r="AK115" s="289" t="s">
        <v>845</v>
      </c>
      <c r="AL115" s="288" t="s">
        <v>846</v>
      </c>
      <c r="AM115" s="287">
        <v>47848</v>
      </c>
      <c r="AN115" s="286">
        <v>17697435.435000002</v>
      </c>
      <c r="AO115" s="303">
        <v>224615.375</v>
      </c>
      <c r="AP115" s="269">
        <v>0</v>
      </c>
      <c r="AQ115" s="286">
        <v>0</v>
      </c>
      <c r="AR115" s="286">
        <v>0</v>
      </c>
      <c r="AS115" s="286">
        <v>0</v>
      </c>
      <c r="AT115" s="286">
        <v>0</v>
      </c>
      <c r="AU115" s="285">
        <v>17472820.060000002</v>
      </c>
      <c r="AV115" s="267">
        <f>AQ115-AD115</f>
        <v>0</v>
      </c>
      <c r="AW115" s="284"/>
      <c r="AX115" s="284"/>
    </row>
    <row r="116" spans="1:50" ht="150" customHeight="1" x14ac:dyDescent="0.2">
      <c r="A116" s="282">
        <v>91</v>
      </c>
      <c r="B116" s="282">
        <v>3</v>
      </c>
      <c r="C116" s="288" t="s">
        <v>346</v>
      </c>
      <c r="D116" s="300" t="s">
        <v>764</v>
      </c>
      <c r="E116" s="301" t="s">
        <v>847</v>
      </c>
      <c r="F116" s="296">
        <v>7.5061499999999999</v>
      </c>
      <c r="G116" s="296"/>
      <c r="H116" s="297"/>
      <c r="I116" s="296"/>
      <c r="J116" s="295"/>
      <c r="K116" s="294"/>
      <c r="L116" s="294"/>
      <c r="M116" s="293"/>
      <c r="N116" s="293"/>
      <c r="O116" s="293"/>
      <c r="P116" s="292"/>
      <c r="Q116" s="275"/>
      <c r="R116" s="275"/>
      <c r="S116" s="291"/>
      <c r="T116" s="291"/>
      <c r="U116" s="292"/>
      <c r="V116" s="291"/>
      <c r="W116" s="292"/>
      <c r="X116" s="291"/>
      <c r="Y116" s="292"/>
      <c r="Z116" s="291"/>
      <c r="AA116" s="291"/>
      <c r="AB116" s="274"/>
      <c r="AC116" s="275"/>
      <c r="AD116" s="275"/>
      <c r="AE116" s="291"/>
      <c r="AF116" s="291"/>
      <c r="AG116" s="291"/>
      <c r="AH116" s="291"/>
      <c r="AI116" s="291"/>
      <c r="AJ116" s="290"/>
      <c r="AK116" s="289" t="s">
        <v>845</v>
      </c>
      <c r="AL116" s="300" t="s">
        <v>848</v>
      </c>
      <c r="AM116" s="287">
        <v>47848</v>
      </c>
      <c r="AN116" s="286">
        <v>17223227.41</v>
      </c>
      <c r="AO116" s="303">
        <v>379080.42</v>
      </c>
      <c r="AP116" s="269">
        <v>0</v>
      </c>
      <c r="AQ116" s="286">
        <v>0</v>
      </c>
      <c r="AR116" s="286">
        <v>0</v>
      </c>
      <c r="AS116" s="286">
        <v>0</v>
      </c>
      <c r="AT116" s="286">
        <v>0</v>
      </c>
      <c r="AU116" s="285">
        <v>16844146.989999998</v>
      </c>
      <c r="AV116" s="267">
        <f>AQ116-AD116</f>
        <v>0</v>
      </c>
      <c r="AW116" s="284"/>
      <c r="AX116" s="284"/>
    </row>
    <row r="117" spans="1:50" ht="150" customHeight="1" x14ac:dyDescent="0.2">
      <c r="A117" s="282">
        <v>92</v>
      </c>
      <c r="B117" s="282">
        <v>4</v>
      </c>
      <c r="C117" s="288" t="s">
        <v>346</v>
      </c>
      <c r="D117" s="288" t="s">
        <v>483</v>
      </c>
      <c r="E117" s="298" t="s">
        <v>849</v>
      </c>
      <c r="F117" s="296">
        <v>5.44</v>
      </c>
      <c r="G117" s="296"/>
      <c r="H117" s="297"/>
      <c r="I117" s="296"/>
      <c r="J117" s="295"/>
      <c r="K117" s="294"/>
      <c r="L117" s="294"/>
      <c r="M117" s="293"/>
      <c r="N117" s="293"/>
      <c r="O117" s="293"/>
      <c r="P117" s="292"/>
      <c r="Q117" s="275"/>
      <c r="R117" s="275"/>
      <c r="S117" s="291"/>
      <c r="T117" s="291"/>
      <c r="U117" s="292"/>
      <c r="V117" s="291"/>
      <c r="W117" s="292"/>
      <c r="X117" s="291"/>
      <c r="Y117" s="292"/>
      <c r="Z117" s="291"/>
      <c r="AA117" s="291"/>
      <c r="AB117" s="274"/>
      <c r="AC117" s="275"/>
      <c r="AD117" s="275"/>
      <c r="AE117" s="291"/>
      <c r="AF117" s="291"/>
      <c r="AG117" s="291"/>
      <c r="AH117" s="291"/>
      <c r="AI117" s="291"/>
      <c r="AJ117" s="290"/>
      <c r="AK117" s="289" t="s">
        <v>845</v>
      </c>
      <c r="AL117" s="288" t="s">
        <v>850</v>
      </c>
      <c r="AM117" s="287">
        <v>47848</v>
      </c>
      <c r="AN117" s="286">
        <v>16879270.316999998</v>
      </c>
      <c r="AO117" s="303">
        <v>362849.44699999999</v>
      </c>
      <c r="AP117" s="269">
        <v>0</v>
      </c>
      <c r="AQ117" s="286">
        <v>0</v>
      </c>
      <c r="AR117" s="286">
        <v>0</v>
      </c>
      <c r="AS117" s="286">
        <v>0</v>
      </c>
      <c r="AT117" s="286">
        <v>0</v>
      </c>
      <c r="AU117" s="285">
        <v>16516420.869999997</v>
      </c>
      <c r="AV117" s="267">
        <f>AQ117-AD117</f>
        <v>0</v>
      </c>
      <c r="AW117" s="284"/>
      <c r="AX117" s="284"/>
    </row>
    <row r="118" spans="1:50" ht="150" customHeight="1" x14ac:dyDescent="0.2">
      <c r="A118" s="283">
        <v>93</v>
      </c>
      <c r="B118" s="283">
        <v>5</v>
      </c>
      <c r="C118" s="288" t="s">
        <v>346</v>
      </c>
      <c r="D118" s="288" t="s">
        <v>414</v>
      </c>
      <c r="E118" s="298" t="s">
        <v>851</v>
      </c>
      <c r="F118" s="296">
        <v>13.8</v>
      </c>
      <c r="G118" s="296"/>
      <c r="H118" s="297"/>
      <c r="I118" s="296"/>
      <c r="J118" s="295"/>
      <c r="K118" s="294"/>
      <c r="L118" s="294"/>
      <c r="M118" s="293"/>
      <c r="N118" s="293"/>
      <c r="O118" s="293"/>
      <c r="P118" s="292"/>
      <c r="Q118" s="275"/>
      <c r="R118" s="275"/>
      <c r="S118" s="291"/>
      <c r="T118" s="291"/>
      <c r="U118" s="292"/>
      <c r="V118" s="291"/>
      <c r="W118" s="292"/>
      <c r="X118" s="291"/>
      <c r="Y118" s="292"/>
      <c r="Z118" s="291"/>
      <c r="AA118" s="291"/>
      <c r="AB118" s="274"/>
      <c r="AC118" s="275"/>
      <c r="AD118" s="275"/>
      <c r="AE118" s="291"/>
      <c r="AF118" s="291"/>
      <c r="AG118" s="291"/>
      <c r="AH118" s="291"/>
      <c r="AI118" s="291"/>
      <c r="AJ118" s="290"/>
      <c r="AK118" s="289" t="s">
        <v>845</v>
      </c>
      <c r="AL118" s="288" t="s">
        <v>852</v>
      </c>
      <c r="AM118" s="287">
        <v>47848</v>
      </c>
      <c r="AN118" s="286">
        <v>13014175.193999998</v>
      </c>
      <c r="AO118" s="303">
        <v>253368.71</v>
      </c>
      <c r="AP118" s="269">
        <v>0</v>
      </c>
      <c r="AQ118" s="286">
        <v>0</v>
      </c>
      <c r="AR118" s="286">
        <v>0</v>
      </c>
      <c r="AS118" s="286">
        <v>0</v>
      </c>
      <c r="AT118" s="286">
        <v>0</v>
      </c>
      <c r="AU118" s="285">
        <v>12760806.483999997</v>
      </c>
      <c r="AV118" s="267">
        <f>AQ118-AD118</f>
        <v>0</v>
      </c>
      <c r="AW118" s="284"/>
      <c r="AX118" s="284"/>
    </row>
    <row r="119" spans="1:50" ht="150" customHeight="1" x14ac:dyDescent="0.2">
      <c r="A119" s="282">
        <v>94</v>
      </c>
      <c r="B119" s="282">
        <v>6</v>
      </c>
      <c r="C119" s="288" t="s">
        <v>346</v>
      </c>
      <c r="D119" s="288" t="s">
        <v>698</v>
      </c>
      <c r="E119" s="298" t="s">
        <v>853</v>
      </c>
      <c r="F119" s="296">
        <v>13.66</v>
      </c>
      <c r="G119" s="296"/>
      <c r="H119" s="297"/>
      <c r="I119" s="296"/>
      <c r="J119" s="295"/>
      <c r="K119" s="294"/>
      <c r="L119" s="294"/>
      <c r="M119" s="293"/>
      <c r="N119" s="293"/>
      <c r="O119" s="293"/>
      <c r="P119" s="292"/>
      <c r="Q119" s="275"/>
      <c r="R119" s="275"/>
      <c r="S119" s="291"/>
      <c r="T119" s="291"/>
      <c r="U119" s="292"/>
      <c r="V119" s="291"/>
      <c r="W119" s="292"/>
      <c r="X119" s="291"/>
      <c r="Y119" s="292"/>
      <c r="Z119" s="291"/>
      <c r="AA119" s="291"/>
      <c r="AB119" s="274"/>
      <c r="AC119" s="275"/>
      <c r="AD119" s="275"/>
      <c r="AE119" s="291"/>
      <c r="AF119" s="291"/>
      <c r="AG119" s="291"/>
      <c r="AH119" s="291"/>
      <c r="AI119" s="291"/>
      <c r="AJ119" s="290"/>
      <c r="AK119" s="289" t="s">
        <v>845</v>
      </c>
      <c r="AL119" s="288" t="s">
        <v>854</v>
      </c>
      <c r="AM119" s="287">
        <v>47848</v>
      </c>
      <c r="AN119" s="286">
        <v>11207242.309</v>
      </c>
      <c r="AO119" s="303">
        <v>340863.91099999996</v>
      </c>
      <c r="AP119" s="269">
        <v>0</v>
      </c>
      <c r="AQ119" s="286">
        <v>0</v>
      </c>
      <c r="AR119" s="286">
        <v>0</v>
      </c>
      <c r="AS119" s="286">
        <v>0</v>
      </c>
      <c r="AT119" s="286">
        <v>0</v>
      </c>
      <c r="AU119" s="285">
        <v>10866378.398</v>
      </c>
      <c r="AV119" s="267">
        <f>AQ119-AD119</f>
        <v>0</v>
      </c>
      <c r="AW119" s="284"/>
      <c r="AX119" s="284"/>
    </row>
    <row r="120" spans="1:50" ht="150" customHeight="1" x14ac:dyDescent="0.2">
      <c r="A120" s="282">
        <v>95</v>
      </c>
      <c r="B120" s="282">
        <v>7</v>
      </c>
      <c r="C120" s="288" t="s">
        <v>346</v>
      </c>
      <c r="D120" s="288" t="s">
        <v>855</v>
      </c>
      <c r="E120" s="298" t="s">
        <v>856</v>
      </c>
      <c r="F120" s="296">
        <v>5</v>
      </c>
      <c r="G120" s="296"/>
      <c r="H120" s="297"/>
      <c r="I120" s="296"/>
      <c r="J120" s="295"/>
      <c r="K120" s="294"/>
      <c r="L120" s="294"/>
      <c r="M120" s="293"/>
      <c r="N120" s="293"/>
      <c r="O120" s="293"/>
      <c r="P120" s="292"/>
      <c r="Q120" s="275"/>
      <c r="R120" s="275"/>
      <c r="S120" s="291"/>
      <c r="T120" s="291"/>
      <c r="U120" s="292"/>
      <c r="V120" s="291"/>
      <c r="W120" s="292"/>
      <c r="X120" s="291"/>
      <c r="Y120" s="292"/>
      <c r="Z120" s="291"/>
      <c r="AA120" s="291"/>
      <c r="AB120" s="274"/>
      <c r="AC120" s="275"/>
      <c r="AD120" s="275"/>
      <c r="AE120" s="291"/>
      <c r="AF120" s="291"/>
      <c r="AG120" s="291"/>
      <c r="AH120" s="291"/>
      <c r="AI120" s="291"/>
      <c r="AJ120" s="290"/>
      <c r="AK120" s="289" t="s">
        <v>524</v>
      </c>
      <c r="AL120" s="288" t="s">
        <v>857</v>
      </c>
      <c r="AM120" s="287">
        <v>47848</v>
      </c>
      <c r="AN120" s="286">
        <v>9454924.2029999997</v>
      </c>
      <c r="AO120" s="286">
        <v>1134165.0649999999</v>
      </c>
      <c r="AP120" s="269">
        <v>0</v>
      </c>
      <c r="AQ120" s="286">
        <v>1485</v>
      </c>
      <c r="AR120" s="286">
        <v>0</v>
      </c>
      <c r="AS120" s="286">
        <v>0</v>
      </c>
      <c r="AT120" s="286">
        <v>0</v>
      </c>
      <c r="AU120" s="285">
        <v>8319274.1379999993</v>
      </c>
      <c r="AV120" s="267">
        <f>AQ120-AD120</f>
        <v>1485</v>
      </c>
      <c r="AW120" s="284"/>
      <c r="AX120" s="284"/>
    </row>
    <row r="121" spans="1:50" ht="150" customHeight="1" x14ac:dyDescent="0.2">
      <c r="A121" s="283">
        <v>96</v>
      </c>
      <c r="B121" s="283">
        <v>8</v>
      </c>
      <c r="C121" s="288" t="s">
        <v>346</v>
      </c>
      <c r="D121" s="288" t="s">
        <v>439</v>
      </c>
      <c r="E121" s="298" t="s">
        <v>858</v>
      </c>
      <c r="F121" s="296">
        <v>4.8</v>
      </c>
      <c r="G121" s="296"/>
      <c r="H121" s="297"/>
      <c r="I121" s="296"/>
      <c r="J121" s="295"/>
      <c r="K121" s="294"/>
      <c r="L121" s="294"/>
      <c r="M121" s="293"/>
      <c r="N121" s="293"/>
      <c r="O121" s="293"/>
      <c r="P121" s="292"/>
      <c r="Q121" s="275"/>
      <c r="R121" s="275"/>
      <c r="S121" s="291"/>
      <c r="T121" s="291"/>
      <c r="U121" s="292"/>
      <c r="V121" s="291"/>
      <c r="W121" s="292"/>
      <c r="X121" s="291"/>
      <c r="Y121" s="292"/>
      <c r="Z121" s="291"/>
      <c r="AA121" s="291"/>
      <c r="AB121" s="274"/>
      <c r="AC121" s="275"/>
      <c r="AD121" s="275"/>
      <c r="AE121" s="291"/>
      <c r="AF121" s="291"/>
      <c r="AG121" s="291"/>
      <c r="AH121" s="291"/>
      <c r="AI121" s="291"/>
      <c r="AJ121" s="290"/>
      <c r="AK121" s="289" t="s">
        <v>845</v>
      </c>
      <c r="AL121" s="288" t="s">
        <v>846</v>
      </c>
      <c r="AM121" s="287">
        <v>47848</v>
      </c>
      <c r="AN121" s="286">
        <v>8771534.4589999989</v>
      </c>
      <c r="AO121" s="303">
        <v>131534.459</v>
      </c>
      <c r="AP121" s="269">
        <v>0</v>
      </c>
      <c r="AQ121" s="286">
        <v>0</v>
      </c>
      <c r="AR121" s="286">
        <v>0</v>
      </c>
      <c r="AS121" s="286">
        <v>0</v>
      </c>
      <c r="AT121" s="286">
        <v>0</v>
      </c>
      <c r="AU121" s="285">
        <v>8639999.9999999981</v>
      </c>
      <c r="AV121" s="267">
        <f>AQ121-AD121</f>
        <v>0</v>
      </c>
      <c r="AW121" s="284"/>
      <c r="AX121" s="284"/>
    </row>
    <row r="122" spans="1:50" ht="150" customHeight="1" x14ac:dyDescent="0.2">
      <c r="A122" s="282">
        <v>97</v>
      </c>
      <c r="B122" s="282">
        <v>9</v>
      </c>
      <c r="C122" s="288" t="s">
        <v>346</v>
      </c>
      <c r="D122" s="288" t="s">
        <v>424</v>
      </c>
      <c r="E122" s="298" t="s">
        <v>859</v>
      </c>
      <c r="F122" s="296">
        <v>2.7</v>
      </c>
      <c r="G122" s="296"/>
      <c r="H122" s="297"/>
      <c r="I122" s="296"/>
      <c r="J122" s="295"/>
      <c r="K122" s="294"/>
      <c r="L122" s="294"/>
      <c r="M122" s="293"/>
      <c r="N122" s="293"/>
      <c r="O122" s="293"/>
      <c r="P122" s="292"/>
      <c r="Q122" s="275"/>
      <c r="R122" s="275"/>
      <c r="S122" s="291"/>
      <c r="T122" s="291"/>
      <c r="U122" s="292"/>
      <c r="V122" s="291"/>
      <c r="W122" s="292"/>
      <c r="X122" s="291"/>
      <c r="Y122" s="292"/>
      <c r="Z122" s="291"/>
      <c r="AA122" s="291"/>
      <c r="AB122" s="274"/>
      <c r="AC122" s="275"/>
      <c r="AD122" s="275"/>
      <c r="AE122" s="291"/>
      <c r="AF122" s="291"/>
      <c r="AG122" s="291"/>
      <c r="AH122" s="291"/>
      <c r="AI122" s="291"/>
      <c r="AJ122" s="290"/>
      <c r="AK122" s="289" t="s">
        <v>845</v>
      </c>
      <c r="AL122" s="288" t="s">
        <v>860</v>
      </c>
      <c r="AM122" s="287">
        <v>47848</v>
      </c>
      <c r="AN122" s="286">
        <v>7196905.6349999998</v>
      </c>
      <c r="AO122" s="286">
        <v>0</v>
      </c>
      <c r="AP122" s="269">
        <v>0</v>
      </c>
      <c r="AQ122" s="286">
        <v>0</v>
      </c>
      <c r="AR122" s="286">
        <v>0</v>
      </c>
      <c r="AS122" s="286">
        <v>0</v>
      </c>
      <c r="AT122" s="286">
        <v>0</v>
      </c>
      <c r="AU122" s="285">
        <v>7196905.6349999998</v>
      </c>
      <c r="AV122" s="267">
        <f>AQ122-AD122</f>
        <v>0</v>
      </c>
      <c r="AW122" s="284"/>
      <c r="AX122" s="284"/>
    </row>
    <row r="123" spans="1:50" ht="150" customHeight="1" x14ac:dyDescent="0.2">
      <c r="A123" s="282">
        <v>98</v>
      </c>
      <c r="B123" s="282">
        <v>10</v>
      </c>
      <c r="C123" s="288" t="s">
        <v>346</v>
      </c>
      <c r="D123" s="300" t="s">
        <v>861</v>
      </c>
      <c r="E123" s="308" t="s">
        <v>862</v>
      </c>
      <c r="F123" s="307">
        <v>0.37</v>
      </c>
      <c r="G123" s="307"/>
      <c r="H123" s="297"/>
      <c r="I123" s="307"/>
      <c r="J123" s="306"/>
      <c r="K123" s="294"/>
      <c r="L123" s="294"/>
      <c r="M123" s="293"/>
      <c r="N123" s="293"/>
      <c r="O123" s="293"/>
      <c r="P123" s="292"/>
      <c r="Q123" s="275"/>
      <c r="R123" s="275"/>
      <c r="S123" s="291"/>
      <c r="T123" s="291"/>
      <c r="U123" s="292"/>
      <c r="V123" s="291"/>
      <c r="W123" s="292"/>
      <c r="X123" s="291"/>
      <c r="Y123" s="292"/>
      <c r="Z123" s="291"/>
      <c r="AA123" s="291"/>
      <c r="AB123" s="274"/>
      <c r="AC123" s="275"/>
      <c r="AD123" s="275"/>
      <c r="AE123" s="291"/>
      <c r="AF123" s="291"/>
      <c r="AG123" s="291"/>
      <c r="AH123" s="291"/>
      <c r="AI123" s="291"/>
      <c r="AJ123" s="290"/>
      <c r="AK123" s="289"/>
      <c r="AL123" s="287" t="s">
        <v>863</v>
      </c>
      <c r="AM123" s="287">
        <v>47848</v>
      </c>
      <c r="AN123" s="303">
        <v>5093522.49</v>
      </c>
      <c r="AO123" s="303">
        <v>0</v>
      </c>
      <c r="AP123" s="299">
        <v>0</v>
      </c>
      <c r="AQ123" s="303">
        <v>3912.69</v>
      </c>
      <c r="AR123" s="303">
        <v>0</v>
      </c>
      <c r="AS123" s="303">
        <v>0</v>
      </c>
      <c r="AT123" s="303">
        <v>0</v>
      </c>
      <c r="AU123" s="285">
        <v>5089609.8</v>
      </c>
      <c r="AV123" s="267">
        <f>AQ123-AD123</f>
        <v>3912.69</v>
      </c>
      <c r="AW123" s="284"/>
      <c r="AX123" s="284"/>
    </row>
    <row r="124" spans="1:50" ht="150" customHeight="1" x14ac:dyDescent="0.2">
      <c r="A124" s="283">
        <v>99</v>
      </c>
      <c r="B124" s="283">
        <v>11</v>
      </c>
      <c r="C124" s="288" t="s">
        <v>346</v>
      </c>
      <c r="D124" s="288" t="s">
        <v>424</v>
      </c>
      <c r="E124" s="298" t="s">
        <v>864</v>
      </c>
      <c r="F124" s="296">
        <v>3.5329999999999999</v>
      </c>
      <c r="G124" s="296"/>
      <c r="H124" s="297"/>
      <c r="I124" s="296"/>
      <c r="J124" s="295"/>
      <c r="K124" s="294"/>
      <c r="L124" s="294"/>
      <c r="M124" s="293"/>
      <c r="N124" s="293"/>
      <c r="O124" s="293"/>
      <c r="P124" s="292"/>
      <c r="Q124" s="275"/>
      <c r="R124" s="275"/>
      <c r="S124" s="291"/>
      <c r="T124" s="291"/>
      <c r="U124" s="292"/>
      <c r="V124" s="291"/>
      <c r="W124" s="292"/>
      <c r="X124" s="291"/>
      <c r="Y124" s="292"/>
      <c r="Z124" s="291"/>
      <c r="AA124" s="291"/>
      <c r="AB124" s="274"/>
      <c r="AC124" s="275"/>
      <c r="AD124" s="275"/>
      <c r="AE124" s="291"/>
      <c r="AF124" s="291"/>
      <c r="AG124" s="291"/>
      <c r="AH124" s="291"/>
      <c r="AI124" s="291"/>
      <c r="AJ124" s="290"/>
      <c r="AK124" s="309" t="s">
        <v>845</v>
      </c>
      <c r="AL124" s="288" t="s">
        <v>865</v>
      </c>
      <c r="AM124" s="287">
        <v>47848</v>
      </c>
      <c r="AN124" s="286">
        <v>4709099.08</v>
      </c>
      <c r="AO124" s="303">
        <v>2709834.1889999998</v>
      </c>
      <c r="AP124" s="269">
        <v>0</v>
      </c>
      <c r="AQ124" s="286">
        <v>0</v>
      </c>
      <c r="AR124" s="286">
        <v>0</v>
      </c>
      <c r="AS124" s="286">
        <v>0</v>
      </c>
      <c r="AT124" s="286">
        <v>0</v>
      </c>
      <c r="AU124" s="285">
        <v>1999264.8910000003</v>
      </c>
      <c r="AV124" s="267">
        <f>AQ124-AD124</f>
        <v>0</v>
      </c>
      <c r="AW124" s="284"/>
      <c r="AX124" s="284"/>
    </row>
    <row r="125" spans="1:50" ht="150" customHeight="1" x14ac:dyDescent="0.2">
      <c r="A125" s="282">
        <v>100</v>
      </c>
      <c r="B125" s="282">
        <v>12</v>
      </c>
      <c r="C125" s="288" t="s">
        <v>346</v>
      </c>
      <c r="D125" s="300" t="s">
        <v>866</v>
      </c>
      <c r="E125" s="301" t="s">
        <v>867</v>
      </c>
      <c r="F125" s="296">
        <v>2.1</v>
      </c>
      <c r="G125" s="296"/>
      <c r="H125" s="297"/>
      <c r="I125" s="296"/>
      <c r="J125" s="295"/>
      <c r="K125" s="294"/>
      <c r="L125" s="294"/>
      <c r="M125" s="293"/>
      <c r="N125" s="293"/>
      <c r="O125" s="293"/>
      <c r="P125" s="292"/>
      <c r="Q125" s="275"/>
      <c r="R125" s="275"/>
      <c r="S125" s="291"/>
      <c r="T125" s="291"/>
      <c r="U125" s="292"/>
      <c r="V125" s="291"/>
      <c r="W125" s="292"/>
      <c r="X125" s="291"/>
      <c r="Y125" s="292"/>
      <c r="Z125" s="291"/>
      <c r="AA125" s="291"/>
      <c r="AB125" s="274"/>
      <c r="AC125" s="275"/>
      <c r="AD125" s="275"/>
      <c r="AE125" s="291"/>
      <c r="AF125" s="291"/>
      <c r="AG125" s="291"/>
      <c r="AH125" s="291"/>
      <c r="AI125" s="291"/>
      <c r="AJ125" s="290"/>
      <c r="AK125" s="289" t="s">
        <v>868</v>
      </c>
      <c r="AL125" s="287" t="s">
        <v>869</v>
      </c>
      <c r="AM125" s="287">
        <v>47848</v>
      </c>
      <c r="AN125" s="286" t="s">
        <v>526</v>
      </c>
      <c r="AO125" s="286">
        <v>49266</v>
      </c>
      <c r="AP125" s="269">
        <v>124587.37</v>
      </c>
      <c r="AQ125" s="286">
        <v>100000</v>
      </c>
      <c r="AR125" s="286">
        <v>50000</v>
      </c>
      <c r="AS125" s="286">
        <v>1475310.976</v>
      </c>
      <c r="AT125" s="286">
        <v>2336029.6669999999</v>
      </c>
      <c r="AU125" s="285">
        <v>3540566.071</v>
      </c>
      <c r="AV125" s="267">
        <f>AQ125-AD125</f>
        <v>100000</v>
      </c>
      <c r="AW125" s="284"/>
      <c r="AX125" s="284"/>
    </row>
    <row r="126" spans="1:50" ht="150" customHeight="1" x14ac:dyDescent="0.2">
      <c r="A126" s="282">
        <v>101</v>
      </c>
      <c r="B126" s="282">
        <v>13</v>
      </c>
      <c r="C126" s="288" t="s">
        <v>346</v>
      </c>
      <c r="D126" s="288" t="s">
        <v>870</v>
      </c>
      <c r="E126" s="298" t="s">
        <v>871</v>
      </c>
      <c r="F126" s="296">
        <v>4.45</v>
      </c>
      <c r="G126" s="296"/>
      <c r="H126" s="297"/>
      <c r="I126" s="296"/>
      <c r="J126" s="295"/>
      <c r="K126" s="294"/>
      <c r="L126" s="294"/>
      <c r="M126" s="293"/>
      <c r="N126" s="293"/>
      <c r="O126" s="293"/>
      <c r="P126" s="292"/>
      <c r="Q126" s="275"/>
      <c r="R126" s="275"/>
      <c r="S126" s="291"/>
      <c r="T126" s="291"/>
      <c r="U126" s="292"/>
      <c r="V126" s="291"/>
      <c r="W126" s="292"/>
      <c r="X126" s="291"/>
      <c r="Y126" s="292"/>
      <c r="Z126" s="291"/>
      <c r="AA126" s="291"/>
      <c r="AB126" s="274"/>
      <c r="AC126" s="275"/>
      <c r="AD126" s="275"/>
      <c r="AE126" s="291"/>
      <c r="AF126" s="291"/>
      <c r="AG126" s="291"/>
      <c r="AH126" s="291"/>
      <c r="AI126" s="291"/>
      <c r="AJ126" s="290"/>
      <c r="AK126" s="289" t="s">
        <v>868</v>
      </c>
      <c r="AL126" s="288" t="s">
        <v>872</v>
      </c>
      <c r="AM126" s="287">
        <v>47848</v>
      </c>
      <c r="AN126" s="286">
        <v>4112400.696</v>
      </c>
      <c r="AO126" s="303">
        <v>113959.379</v>
      </c>
      <c r="AP126" s="269">
        <v>0</v>
      </c>
      <c r="AQ126" s="286">
        <v>62237.52</v>
      </c>
      <c r="AR126" s="286">
        <v>72762.48</v>
      </c>
      <c r="AS126" s="286">
        <v>0</v>
      </c>
      <c r="AT126" s="286">
        <v>0</v>
      </c>
      <c r="AU126" s="285">
        <v>3863441.3170000003</v>
      </c>
      <c r="AV126" s="267">
        <f>AQ126-AD126</f>
        <v>62237.52</v>
      </c>
      <c r="AW126" s="284"/>
      <c r="AX126" s="284"/>
    </row>
    <row r="127" spans="1:50" ht="150" customHeight="1" x14ac:dyDescent="0.2">
      <c r="A127" s="283">
        <v>102</v>
      </c>
      <c r="B127" s="283">
        <v>14</v>
      </c>
      <c r="C127" s="288" t="s">
        <v>346</v>
      </c>
      <c r="D127" s="300" t="s">
        <v>861</v>
      </c>
      <c r="E127" s="308" t="s">
        <v>873</v>
      </c>
      <c r="F127" s="307">
        <v>0.51</v>
      </c>
      <c r="G127" s="307"/>
      <c r="H127" s="297"/>
      <c r="I127" s="307"/>
      <c r="J127" s="306"/>
      <c r="K127" s="294"/>
      <c r="L127" s="294"/>
      <c r="M127" s="293"/>
      <c r="N127" s="293"/>
      <c r="O127" s="293"/>
      <c r="P127" s="292"/>
      <c r="Q127" s="275"/>
      <c r="R127" s="275"/>
      <c r="S127" s="291"/>
      <c r="T127" s="291"/>
      <c r="U127" s="292"/>
      <c r="V127" s="291"/>
      <c r="W127" s="292"/>
      <c r="X127" s="291"/>
      <c r="Y127" s="292"/>
      <c r="Z127" s="291"/>
      <c r="AA127" s="291"/>
      <c r="AB127" s="274"/>
      <c r="AC127" s="275"/>
      <c r="AD127" s="275"/>
      <c r="AE127" s="291"/>
      <c r="AF127" s="291"/>
      <c r="AG127" s="291"/>
      <c r="AH127" s="291"/>
      <c r="AI127" s="291"/>
      <c r="AJ127" s="290"/>
      <c r="AK127" s="289" t="s">
        <v>353</v>
      </c>
      <c r="AL127" s="287" t="s">
        <v>863</v>
      </c>
      <c r="AM127" s="287">
        <v>47848</v>
      </c>
      <c r="AN127" s="303">
        <v>2957097.6100000003</v>
      </c>
      <c r="AO127" s="303">
        <v>0</v>
      </c>
      <c r="AP127" s="299">
        <v>0</v>
      </c>
      <c r="AQ127" s="303">
        <v>50000</v>
      </c>
      <c r="AR127" s="303">
        <v>464649.72100000002</v>
      </c>
      <c r="AS127" s="303">
        <v>0</v>
      </c>
      <c r="AT127" s="303">
        <v>0</v>
      </c>
      <c r="AU127" s="285">
        <v>2442447.8890000004</v>
      </c>
      <c r="AV127" s="267">
        <f>AQ127-AD127</f>
        <v>50000</v>
      </c>
      <c r="AW127" s="284"/>
      <c r="AX127" s="284"/>
    </row>
    <row r="128" spans="1:50" ht="150" customHeight="1" x14ac:dyDescent="0.2">
      <c r="A128" s="282">
        <v>103</v>
      </c>
      <c r="B128" s="282">
        <v>15</v>
      </c>
      <c r="C128" s="288" t="s">
        <v>346</v>
      </c>
      <c r="D128" s="288" t="s">
        <v>801</v>
      </c>
      <c r="E128" s="298" t="s">
        <v>874</v>
      </c>
      <c r="F128" s="296">
        <v>1.46</v>
      </c>
      <c r="G128" s="296"/>
      <c r="H128" s="297"/>
      <c r="I128" s="296"/>
      <c r="J128" s="295"/>
      <c r="K128" s="294"/>
      <c r="L128" s="294"/>
      <c r="M128" s="293"/>
      <c r="N128" s="293"/>
      <c r="O128" s="293"/>
      <c r="P128" s="292"/>
      <c r="Q128" s="275"/>
      <c r="R128" s="275"/>
      <c r="S128" s="291"/>
      <c r="T128" s="291"/>
      <c r="U128" s="292"/>
      <c r="V128" s="291"/>
      <c r="W128" s="292"/>
      <c r="X128" s="291"/>
      <c r="Y128" s="292"/>
      <c r="Z128" s="291"/>
      <c r="AA128" s="291"/>
      <c r="AB128" s="274"/>
      <c r="AC128" s="275"/>
      <c r="AD128" s="275"/>
      <c r="AE128" s="291"/>
      <c r="AF128" s="291"/>
      <c r="AG128" s="291"/>
      <c r="AH128" s="291"/>
      <c r="AI128" s="291"/>
      <c r="AJ128" s="290"/>
      <c r="AK128" s="289" t="s">
        <v>845</v>
      </c>
      <c r="AL128" s="288" t="s">
        <v>860</v>
      </c>
      <c r="AM128" s="287">
        <v>47848</v>
      </c>
      <c r="AN128" s="286">
        <v>2718396.22</v>
      </c>
      <c r="AO128" s="286">
        <v>0</v>
      </c>
      <c r="AP128" s="269">
        <v>2.9103830456733698E-10</v>
      </c>
      <c r="AQ128" s="286">
        <v>2.9103830456733698E-10</v>
      </c>
      <c r="AR128" s="286">
        <v>2.9103830456733698E-10</v>
      </c>
      <c r="AS128" s="286">
        <v>2.9103830456733698E-10</v>
      </c>
      <c r="AT128" s="286">
        <v>2.9103830456733698E-10</v>
      </c>
      <c r="AU128" s="285">
        <v>2718396.2199999983</v>
      </c>
      <c r="AV128" s="267">
        <f>AQ128-AD128</f>
        <v>2.9103830456733698E-10</v>
      </c>
      <c r="AW128" s="284"/>
      <c r="AX128" s="284"/>
    </row>
    <row r="129" spans="1:50" ht="150" customHeight="1" x14ac:dyDescent="0.2">
      <c r="A129" s="282">
        <v>104</v>
      </c>
      <c r="B129" s="282">
        <v>16</v>
      </c>
      <c r="C129" s="288" t="s">
        <v>346</v>
      </c>
      <c r="D129" s="288" t="s">
        <v>801</v>
      </c>
      <c r="E129" s="298" t="s">
        <v>875</v>
      </c>
      <c r="F129" s="296">
        <v>1.88</v>
      </c>
      <c r="G129" s="296"/>
      <c r="H129" s="297"/>
      <c r="I129" s="296"/>
      <c r="J129" s="295"/>
      <c r="K129" s="294"/>
      <c r="L129" s="294"/>
      <c r="M129" s="293"/>
      <c r="N129" s="293"/>
      <c r="O129" s="293"/>
      <c r="P129" s="292"/>
      <c r="Q129" s="275"/>
      <c r="R129" s="275"/>
      <c r="S129" s="291"/>
      <c r="T129" s="291"/>
      <c r="U129" s="292"/>
      <c r="V129" s="291"/>
      <c r="W129" s="292"/>
      <c r="X129" s="291"/>
      <c r="Y129" s="292"/>
      <c r="Z129" s="291"/>
      <c r="AA129" s="291"/>
      <c r="AB129" s="274"/>
      <c r="AC129" s="275"/>
      <c r="AD129" s="275"/>
      <c r="AE129" s="291"/>
      <c r="AF129" s="291"/>
      <c r="AG129" s="291"/>
      <c r="AH129" s="291"/>
      <c r="AI129" s="291"/>
      <c r="AJ129" s="290"/>
      <c r="AK129" s="289" t="s">
        <v>845</v>
      </c>
      <c r="AL129" s="288" t="s">
        <v>860</v>
      </c>
      <c r="AM129" s="287">
        <v>47848</v>
      </c>
      <c r="AN129" s="286">
        <v>2406142.21</v>
      </c>
      <c r="AO129" s="286">
        <v>0</v>
      </c>
      <c r="AP129" s="269">
        <v>0</v>
      </c>
      <c r="AQ129" s="286">
        <v>0</v>
      </c>
      <c r="AR129" s="286">
        <v>0</v>
      </c>
      <c r="AS129" s="286">
        <v>0</v>
      </c>
      <c r="AT129" s="286">
        <v>0</v>
      </c>
      <c r="AU129" s="285">
        <v>2406142.21</v>
      </c>
      <c r="AV129" s="267">
        <f>AQ129-AD129</f>
        <v>0</v>
      </c>
      <c r="AW129" s="284"/>
      <c r="AX129" s="284"/>
    </row>
    <row r="130" spans="1:50" ht="150" customHeight="1" x14ac:dyDescent="0.2">
      <c r="A130" s="283">
        <v>105</v>
      </c>
      <c r="B130" s="283">
        <v>17</v>
      </c>
      <c r="C130" s="288" t="s">
        <v>346</v>
      </c>
      <c r="D130" s="288" t="s">
        <v>876</v>
      </c>
      <c r="E130" s="298" t="s">
        <v>877</v>
      </c>
      <c r="F130" s="296">
        <v>5.8</v>
      </c>
      <c r="G130" s="296"/>
      <c r="H130" s="297"/>
      <c r="I130" s="296"/>
      <c r="J130" s="295"/>
      <c r="K130" s="294"/>
      <c r="L130" s="294"/>
      <c r="M130" s="293"/>
      <c r="N130" s="293"/>
      <c r="O130" s="293"/>
      <c r="P130" s="292"/>
      <c r="Q130" s="275"/>
      <c r="R130" s="275"/>
      <c r="S130" s="291"/>
      <c r="T130" s="291"/>
      <c r="U130" s="292"/>
      <c r="V130" s="291"/>
      <c r="W130" s="292"/>
      <c r="X130" s="291"/>
      <c r="Y130" s="292"/>
      <c r="Z130" s="291"/>
      <c r="AA130" s="291"/>
      <c r="AB130" s="274"/>
      <c r="AC130" s="275"/>
      <c r="AD130" s="275"/>
      <c r="AE130" s="291"/>
      <c r="AF130" s="291"/>
      <c r="AG130" s="291"/>
      <c r="AH130" s="291"/>
      <c r="AI130" s="291"/>
      <c r="AJ130" s="290"/>
      <c r="AK130" s="289" t="s">
        <v>845</v>
      </c>
      <c r="AL130" s="288" t="s">
        <v>878</v>
      </c>
      <c r="AM130" s="287">
        <v>47848</v>
      </c>
      <c r="AN130" s="286">
        <v>2252723.9750000001</v>
      </c>
      <c r="AO130" s="286">
        <v>82723.975000000006</v>
      </c>
      <c r="AP130" s="269">
        <v>0</v>
      </c>
      <c r="AQ130" s="286">
        <v>0</v>
      </c>
      <c r="AR130" s="286">
        <v>0</v>
      </c>
      <c r="AS130" s="286">
        <v>0</v>
      </c>
      <c r="AT130" s="286">
        <v>0</v>
      </c>
      <c r="AU130" s="285">
        <v>2170000</v>
      </c>
      <c r="AV130" s="267">
        <f>AQ130-AD130</f>
        <v>0</v>
      </c>
      <c r="AW130" s="284"/>
      <c r="AX130" s="284"/>
    </row>
    <row r="131" spans="1:50" ht="150" customHeight="1" x14ac:dyDescent="0.2">
      <c r="A131" s="282">
        <v>106</v>
      </c>
      <c r="B131" s="282">
        <v>18</v>
      </c>
      <c r="C131" s="288" t="s">
        <v>346</v>
      </c>
      <c r="D131" s="288" t="s">
        <v>521</v>
      </c>
      <c r="E131" s="298" t="s">
        <v>879</v>
      </c>
      <c r="F131" s="296">
        <v>2.3820000000000001</v>
      </c>
      <c r="G131" s="296"/>
      <c r="H131" s="297"/>
      <c r="I131" s="296"/>
      <c r="J131" s="295"/>
      <c r="K131" s="294"/>
      <c r="L131" s="294"/>
      <c r="M131" s="293"/>
      <c r="N131" s="293"/>
      <c r="O131" s="293"/>
      <c r="P131" s="292"/>
      <c r="Q131" s="275"/>
      <c r="R131" s="275"/>
      <c r="S131" s="291"/>
      <c r="T131" s="291"/>
      <c r="U131" s="292"/>
      <c r="V131" s="291"/>
      <c r="W131" s="292"/>
      <c r="X131" s="291"/>
      <c r="Y131" s="292"/>
      <c r="Z131" s="291"/>
      <c r="AA131" s="291"/>
      <c r="AB131" s="274"/>
      <c r="AC131" s="275"/>
      <c r="AD131" s="275"/>
      <c r="AE131" s="291"/>
      <c r="AF131" s="291"/>
      <c r="AG131" s="291"/>
      <c r="AH131" s="291"/>
      <c r="AI131" s="291"/>
      <c r="AJ131" s="290"/>
      <c r="AK131" s="289" t="s">
        <v>868</v>
      </c>
      <c r="AL131" s="288" t="s">
        <v>880</v>
      </c>
      <c r="AM131" s="287">
        <v>47848</v>
      </c>
      <c r="AN131" s="286">
        <v>2107206.9500000002</v>
      </c>
      <c r="AO131" s="286">
        <v>457264.13200000004</v>
      </c>
      <c r="AP131" s="269">
        <v>0</v>
      </c>
      <c r="AQ131" s="286">
        <v>15433.912</v>
      </c>
      <c r="AR131" s="286">
        <v>0</v>
      </c>
      <c r="AS131" s="286">
        <v>0</v>
      </c>
      <c r="AT131" s="286">
        <v>0</v>
      </c>
      <c r="AU131" s="285">
        <v>1634508.9060000002</v>
      </c>
      <c r="AV131" s="267">
        <f>AQ131-AD131</f>
        <v>15433.912</v>
      </c>
      <c r="AW131" s="284"/>
      <c r="AX131" s="284"/>
    </row>
    <row r="132" spans="1:50" ht="150" customHeight="1" x14ac:dyDescent="0.2">
      <c r="A132" s="282">
        <v>107</v>
      </c>
      <c r="B132" s="282">
        <v>19</v>
      </c>
      <c r="C132" s="288" t="s">
        <v>346</v>
      </c>
      <c r="D132" s="288" t="s">
        <v>801</v>
      </c>
      <c r="E132" s="298" t="s">
        <v>881</v>
      </c>
      <c r="F132" s="296">
        <v>0.94499999999999995</v>
      </c>
      <c r="G132" s="296"/>
      <c r="H132" s="297"/>
      <c r="I132" s="296"/>
      <c r="J132" s="295"/>
      <c r="K132" s="294"/>
      <c r="L132" s="294"/>
      <c r="M132" s="293"/>
      <c r="N132" s="293"/>
      <c r="O132" s="293"/>
      <c r="P132" s="292"/>
      <c r="Q132" s="275"/>
      <c r="R132" s="275"/>
      <c r="S132" s="291"/>
      <c r="T132" s="291"/>
      <c r="U132" s="292"/>
      <c r="V132" s="291"/>
      <c r="W132" s="292"/>
      <c r="X132" s="291"/>
      <c r="Y132" s="292"/>
      <c r="Z132" s="291"/>
      <c r="AA132" s="291"/>
      <c r="AB132" s="274"/>
      <c r="AC132" s="275"/>
      <c r="AD132" s="275"/>
      <c r="AE132" s="291"/>
      <c r="AF132" s="291"/>
      <c r="AG132" s="291"/>
      <c r="AH132" s="291"/>
      <c r="AI132" s="291"/>
      <c r="AJ132" s="290"/>
      <c r="AK132" s="289" t="s">
        <v>845</v>
      </c>
      <c r="AL132" s="288" t="s">
        <v>860</v>
      </c>
      <c r="AM132" s="287">
        <v>47848</v>
      </c>
      <c r="AN132" s="286">
        <v>1956816.56</v>
      </c>
      <c r="AO132" s="286">
        <v>0</v>
      </c>
      <c r="AP132" s="269">
        <v>2.9103830456733698E-10</v>
      </c>
      <c r="AQ132" s="286">
        <v>2.9103830456733698E-10</v>
      </c>
      <c r="AR132" s="286">
        <v>2.9103830456733698E-10</v>
      </c>
      <c r="AS132" s="286">
        <v>2.9103830456733698E-10</v>
      </c>
      <c r="AT132" s="286">
        <v>2.9103830456733698E-10</v>
      </c>
      <c r="AU132" s="285">
        <v>1956816.559999998</v>
      </c>
      <c r="AV132" s="267">
        <f>AQ132-AD132</f>
        <v>2.9103830456733698E-10</v>
      </c>
      <c r="AW132" s="284"/>
      <c r="AX132" s="284"/>
    </row>
    <row r="133" spans="1:50" ht="150" customHeight="1" x14ac:dyDescent="0.2">
      <c r="A133" s="283">
        <v>108</v>
      </c>
      <c r="B133" s="283">
        <v>20</v>
      </c>
      <c r="C133" s="288" t="s">
        <v>346</v>
      </c>
      <c r="D133" s="288" t="s">
        <v>882</v>
      </c>
      <c r="E133" s="298" t="s">
        <v>883</v>
      </c>
      <c r="F133" s="296">
        <v>0.9</v>
      </c>
      <c r="G133" s="296"/>
      <c r="H133" s="297"/>
      <c r="I133" s="296"/>
      <c r="J133" s="295"/>
      <c r="K133" s="294"/>
      <c r="L133" s="294"/>
      <c r="M133" s="293"/>
      <c r="N133" s="293"/>
      <c r="O133" s="293"/>
      <c r="P133" s="292"/>
      <c r="Q133" s="275"/>
      <c r="R133" s="275"/>
      <c r="S133" s="291"/>
      <c r="T133" s="291"/>
      <c r="U133" s="292"/>
      <c r="V133" s="291"/>
      <c r="W133" s="292"/>
      <c r="X133" s="291"/>
      <c r="Y133" s="292"/>
      <c r="Z133" s="291"/>
      <c r="AA133" s="291"/>
      <c r="AB133" s="274"/>
      <c r="AC133" s="275"/>
      <c r="AD133" s="275"/>
      <c r="AE133" s="291"/>
      <c r="AF133" s="291"/>
      <c r="AG133" s="291"/>
      <c r="AH133" s="291"/>
      <c r="AI133" s="291"/>
      <c r="AJ133" s="290"/>
      <c r="AK133" s="289" t="s">
        <v>845</v>
      </c>
      <c r="AL133" s="288" t="s">
        <v>884</v>
      </c>
      <c r="AM133" s="287">
        <v>47848</v>
      </c>
      <c r="AN133" s="286">
        <v>1941612.2819999999</v>
      </c>
      <c r="AO133" s="303">
        <v>41612.281999999999</v>
      </c>
      <c r="AP133" s="269">
        <v>0</v>
      </c>
      <c r="AQ133" s="286">
        <v>0</v>
      </c>
      <c r="AR133" s="286">
        <v>0</v>
      </c>
      <c r="AS133" s="286">
        <v>0</v>
      </c>
      <c r="AT133" s="286">
        <v>0</v>
      </c>
      <c r="AU133" s="285">
        <v>1900000</v>
      </c>
      <c r="AV133" s="267">
        <f>AQ133-AD133</f>
        <v>0</v>
      </c>
      <c r="AW133" s="284"/>
      <c r="AX133" s="284"/>
    </row>
    <row r="134" spans="1:50" ht="150" customHeight="1" x14ac:dyDescent="0.2">
      <c r="A134" s="282">
        <v>109</v>
      </c>
      <c r="B134" s="282">
        <v>21</v>
      </c>
      <c r="C134" s="288" t="s">
        <v>346</v>
      </c>
      <c r="D134" s="288" t="s">
        <v>801</v>
      </c>
      <c r="E134" s="298" t="s">
        <v>885</v>
      </c>
      <c r="F134" s="296">
        <v>0.52</v>
      </c>
      <c r="G134" s="296"/>
      <c r="H134" s="297"/>
      <c r="I134" s="296"/>
      <c r="J134" s="295"/>
      <c r="K134" s="294"/>
      <c r="L134" s="294"/>
      <c r="M134" s="293"/>
      <c r="N134" s="293"/>
      <c r="O134" s="293"/>
      <c r="P134" s="292"/>
      <c r="Q134" s="275"/>
      <c r="R134" s="275"/>
      <c r="S134" s="291"/>
      <c r="T134" s="291"/>
      <c r="U134" s="292"/>
      <c r="V134" s="291"/>
      <c r="W134" s="292"/>
      <c r="X134" s="291"/>
      <c r="Y134" s="292"/>
      <c r="Z134" s="291"/>
      <c r="AA134" s="291"/>
      <c r="AB134" s="274"/>
      <c r="AC134" s="275"/>
      <c r="AD134" s="275"/>
      <c r="AE134" s="291"/>
      <c r="AF134" s="291"/>
      <c r="AG134" s="291"/>
      <c r="AH134" s="291"/>
      <c r="AI134" s="291"/>
      <c r="AJ134" s="290"/>
      <c r="AK134" s="289" t="s">
        <v>845</v>
      </c>
      <c r="AL134" s="288" t="s">
        <v>860</v>
      </c>
      <c r="AM134" s="287">
        <v>47848</v>
      </c>
      <c r="AN134" s="286">
        <v>1368293.42</v>
      </c>
      <c r="AO134" s="286">
        <v>0</v>
      </c>
      <c r="AP134" s="269">
        <v>2.9103830456733698E-10</v>
      </c>
      <c r="AQ134" s="286">
        <v>2.9103830456733698E-10</v>
      </c>
      <c r="AR134" s="286">
        <v>2.9103830456733698E-10</v>
      </c>
      <c r="AS134" s="286">
        <v>2.9103830456733698E-10</v>
      </c>
      <c r="AT134" s="286">
        <v>2.9103830456733698E-10</v>
      </c>
      <c r="AU134" s="285">
        <v>1368293.4199999978</v>
      </c>
      <c r="AV134" s="267">
        <f>AQ134-AD134</f>
        <v>2.9103830456733698E-10</v>
      </c>
      <c r="AW134" s="284"/>
      <c r="AX134" s="284"/>
    </row>
    <row r="135" spans="1:50" ht="150" customHeight="1" x14ac:dyDescent="0.2">
      <c r="A135" s="282">
        <v>110</v>
      </c>
      <c r="B135" s="282">
        <v>22</v>
      </c>
      <c r="C135" s="288" t="s">
        <v>346</v>
      </c>
      <c r="D135" s="288" t="s">
        <v>886</v>
      </c>
      <c r="E135" s="298" t="s">
        <v>887</v>
      </c>
      <c r="F135" s="296">
        <v>1.5</v>
      </c>
      <c r="G135" s="296"/>
      <c r="H135" s="297"/>
      <c r="I135" s="296"/>
      <c r="J135" s="295"/>
      <c r="K135" s="294"/>
      <c r="L135" s="294"/>
      <c r="M135" s="293"/>
      <c r="N135" s="293"/>
      <c r="O135" s="293"/>
      <c r="P135" s="292"/>
      <c r="Q135" s="275"/>
      <c r="R135" s="275"/>
      <c r="S135" s="291"/>
      <c r="T135" s="291"/>
      <c r="U135" s="292"/>
      <c r="V135" s="291"/>
      <c r="W135" s="292"/>
      <c r="X135" s="291"/>
      <c r="Y135" s="292"/>
      <c r="Z135" s="291"/>
      <c r="AA135" s="291"/>
      <c r="AB135" s="274"/>
      <c r="AC135" s="275"/>
      <c r="AD135" s="275"/>
      <c r="AE135" s="291"/>
      <c r="AF135" s="291"/>
      <c r="AG135" s="291"/>
      <c r="AH135" s="291"/>
      <c r="AI135" s="291"/>
      <c r="AJ135" s="290"/>
      <c r="AK135" s="289" t="s">
        <v>353</v>
      </c>
      <c r="AL135" s="288" t="s">
        <v>888</v>
      </c>
      <c r="AM135" s="287">
        <v>47848</v>
      </c>
      <c r="AN135" s="286">
        <v>990000</v>
      </c>
      <c r="AO135" s="286">
        <v>45314.561999999998</v>
      </c>
      <c r="AP135" s="269">
        <v>0</v>
      </c>
      <c r="AQ135" s="286">
        <v>5276.4480000000003</v>
      </c>
      <c r="AR135" s="286">
        <v>0</v>
      </c>
      <c r="AS135" s="286">
        <v>0</v>
      </c>
      <c r="AT135" s="286">
        <v>0</v>
      </c>
      <c r="AU135" s="285">
        <v>939408.99</v>
      </c>
      <c r="AV135" s="267">
        <f>AQ135-AD135</f>
        <v>5276.4480000000003</v>
      </c>
      <c r="AW135" s="284"/>
      <c r="AX135" s="284"/>
    </row>
    <row r="136" spans="1:50" ht="150" customHeight="1" x14ac:dyDescent="0.2">
      <c r="A136" s="283">
        <v>111</v>
      </c>
      <c r="B136" s="283">
        <v>23</v>
      </c>
      <c r="C136" s="288" t="s">
        <v>346</v>
      </c>
      <c r="D136" s="288" t="s">
        <v>382</v>
      </c>
      <c r="E136" s="298" t="s">
        <v>889</v>
      </c>
      <c r="F136" s="296">
        <v>7</v>
      </c>
      <c r="G136" s="296"/>
      <c r="H136" s="297"/>
      <c r="I136" s="296"/>
      <c r="J136" s="295"/>
      <c r="K136" s="294"/>
      <c r="L136" s="294"/>
      <c r="M136" s="293"/>
      <c r="N136" s="293"/>
      <c r="O136" s="293"/>
      <c r="P136" s="292"/>
      <c r="Q136" s="275"/>
      <c r="R136" s="275"/>
      <c r="S136" s="291"/>
      <c r="T136" s="291"/>
      <c r="U136" s="292"/>
      <c r="V136" s="291"/>
      <c r="W136" s="292"/>
      <c r="X136" s="291"/>
      <c r="Y136" s="292"/>
      <c r="Z136" s="291"/>
      <c r="AA136" s="291"/>
      <c r="AB136" s="274"/>
      <c r="AC136" s="275"/>
      <c r="AD136" s="275"/>
      <c r="AE136" s="291"/>
      <c r="AF136" s="291"/>
      <c r="AG136" s="291"/>
      <c r="AH136" s="291"/>
      <c r="AI136" s="291"/>
      <c r="AJ136" s="290"/>
      <c r="AK136" s="289" t="s">
        <v>845</v>
      </c>
      <c r="AL136" s="288" t="s">
        <v>890</v>
      </c>
      <c r="AM136" s="287">
        <v>47848</v>
      </c>
      <c r="AN136" s="286">
        <v>985140.02300000004</v>
      </c>
      <c r="AO136" s="303">
        <v>45607.652999999998</v>
      </c>
      <c r="AP136" s="269">
        <v>0</v>
      </c>
      <c r="AQ136" s="286">
        <v>0</v>
      </c>
      <c r="AR136" s="286">
        <v>0</v>
      </c>
      <c r="AS136" s="286">
        <v>0</v>
      </c>
      <c r="AT136" s="286">
        <v>0</v>
      </c>
      <c r="AU136" s="285">
        <v>939532.37</v>
      </c>
      <c r="AV136" s="267">
        <f>AQ136-AD136</f>
        <v>0</v>
      </c>
      <c r="AW136" s="284"/>
      <c r="AX136" s="284"/>
    </row>
    <row r="137" spans="1:50" ht="150" customHeight="1" x14ac:dyDescent="0.2">
      <c r="A137" s="282">
        <v>112</v>
      </c>
      <c r="B137" s="282">
        <v>24</v>
      </c>
      <c r="C137" s="288" t="s">
        <v>346</v>
      </c>
      <c r="D137" s="300" t="s">
        <v>396</v>
      </c>
      <c r="E137" s="308" t="s">
        <v>891</v>
      </c>
      <c r="F137" s="307">
        <v>1</v>
      </c>
      <c r="G137" s="307"/>
      <c r="H137" s="297"/>
      <c r="I137" s="307"/>
      <c r="J137" s="306"/>
      <c r="K137" s="294"/>
      <c r="L137" s="294"/>
      <c r="M137" s="293"/>
      <c r="N137" s="293"/>
      <c r="O137" s="293"/>
      <c r="P137" s="292"/>
      <c r="Q137" s="275"/>
      <c r="R137" s="275"/>
      <c r="S137" s="291"/>
      <c r="T137" s="291"/>
      <c r="U137" s="292"/>
      <c r="V137" s="291"/>
      <c r="W137" s="292"/>
      <c r="X137" s="291"/>
      <c r="Y137" s="292"/>
      <c r="Z137" s="291"/>
      <c r="AA137" s="291"/>
      <c r="AB137" s="274"/>
      <c r="AC137" s="275"/>
      <c r="AD137" s="275"/>
      <c r="AE137" s="291"/>
      <c r="AF137" s="291"/>
      <c r="AG137" s="291"/>
      <c r="AH137" s="291"/>
      <c r="AI137" s="291"/>
      <c r="AJ137" s="290"/>
      <c r="AK137" s="289"/>
      <c r="AL137" s="287" t="s">
        <v>860</v>
      </c>
      <c r="AM137" s="305">
        <v>47848</v>
      </c>
      <c r="AN137" s="303">
        <v>950000</v>
      </c>
      <c r="AO137" s="303">
        <v>0</v>
      </c>
      <c r="AP137" s="299">
        <v>0</v>
      </c>
      <c r="AQ137" s="303">
        <v>0</v>
      </c>
      <c r="AR137" s="303">
        <v>0</v>
      </c>
      <c r="AS137" s="303">
        <v>0</v>
      </c>
      <c r="AT137" s="303">
        <v>0</v>
      </c>
      <c r="AU137" s="285">
        <v>950000</v>
      </c>
      <c r="AV137" s="267">
        <f>AQ137-AD137</f>
        <v>0</v>
      </c>
      <c r="AW137" s="284"/>
      <c r="AX137" s="284"/>
    </row>
    <row r="138" spans="1:50" ht="150" customHeight="1" x14ac:dyDescent="0.2">
      <c r="A138" s="282">
        <v>113</v>
      </c>
      <c r="B138" s="282">
        <v>25</v>
      </c>
      <c r="C138" s="288" t="s">
        <v>346</v>
      </c>
      <c r="D138" s="300" t="s">
        <v>861</v>
      </c>
      <c r="E138" s="308" t="s">
        <v>892</v>
      </c>
      <c r="F138" s="307">
        <v>0.14000000000000001</v>
      </c>
      <c r="G138" s="307"/>
      <c r="H138" s="297"/>
      <c r="I138" s="307"/>
      <c r="J138" s="306"/>
      <c r="K138" s="294"/>
      <c r="L138" s="294"/>
      <c r="M138" s="293"/>
      <c r="N138" s="293"/>
      <c r="O138" s="293"/>
      <c r="P138" s="292"/>
      <c r="Q138" s="275"/>
      <c r="R138" s="275"/>
      <c r="S138" s="291"/>
      <c r="T138" s="291"/>
      <c r="U138" s="292"/>
      <c r="V138" s="291"/>
      <c r="W138" s="292"/>
      <c r="X138" s="291"/>
      <c r="Y138" s="292"/>
      <c r="Z138" s="291"/>
      <c r="AA138" s="291"/>
      <c r="AB138" s="274"/>
      <c r="AC138" s="275"/>
      <c r="AD138" s="275"/>
      <c r="AE138" s="291"/>
      <c r="AF138" s="291"/>
      <c r="AG138" s="291"/>
      <c r="AH138" s="291"/>
      <c r="AI138" s="291"/>
      <c r="AJ138" s="290"/>
      <c r="AK138" s="289" t="s">
        <v>353</v>
      </c>
      <c r="AL138" s="287" t="s">
        <v>863</v>
      </c>
      <c r="AM138" s="287">
        <v>47848</v>
      </c>
      <c r="AN138" s="303">
        <v>858461.31</v>
      </c>
      <c r="AO138" s="303">
        <v>0</v>
      </c>
      <c r="AP138" s="299">
        <v>0</v>
      </c>
      <c r="AQ138" s="303">
        <v>56653.256999999998</v>
      </c>
      <c r="AR138" s="303">
        <v>95996.659999999989</v>
      </c>
      <c r="AS138" s="303">
        <v>0</v>
      </c>
      <c r="AT138" s="303">
        <v>0</v>
      </c>
      <c r="AU138" s="285">
        <v>705811.39300000004</v>
      </c>
      <c r="AV138" s="267">
        <f>AQ138-AD138</f>
        <v>56653.256999999998</v>
      </c>
      <c r="AW138" s="284"/>
      <c r="AX138" s="284"/>
    </row>
    <row r="139" spans="1:50" ht="150" customHeight="1" x14ac:dyDescent="0.2">
      <c r="A139" s="283">
        <v>114</v>
      </c>
      <c r="B139" s="283">
        <v>26</v>
      </c>
      <c r="C139" s="288" t="s">
        <v>346</v>
      </c>
      <c r="D139" s="288" t="s">
        <v>698</v>
      </c>
      <c r="E139" s="298" t="s">
        <v>893</v>
      </c>
      <c r="F139" s="296">
        <v>1.5</v>
      </c>
      <c r="G139" s="296"/>
      <c r="H139" s="297"/>
      <c r="I139" s="296"/>
      <c r="J139" s="295"/>
      <c r="K139" s="294"/>
      <c r="L139" s="294"/>
      <c r="M139" s="293"/>
      <c r="N139" s="293"/>
      <c r="O139" s="293"/>
      <c r="P139" s="292"/>
      <c r="Q139" s="275"/>
      <c r="R139" s="275"/>
      <c r="S139" s="291"/>
      <c r="T139" s="291"/>
      <c r="U139" s="292"/>
      <c r="V139" s="291"/>
      <c r="W139" s="292"/>
      <c r="X139" s="291"/>
      <c r="Y139" s="292"/>
      <c r="Z139" s="291"/>
      <c r="AA139" s="291"/>
      <c r="AB139" s="274"/>
      <c r="AC139" s="275"/>
      <c r="AD139" s="275"/>
      <c r="AE139" s="291"/>
      <c r="AF139" s="291"/>
      <c r="AG139" s="291"/>
      <c r="AH139" s="291"/>
      <c r="AI139" s="291"/>
      <c r="AJ139" s="290"/>
      <c r="AK139" s="289" t="s">
        <v>845</v>
      </c>
      <c r="AL139" s="288" t="s">
        <v>894</v>
      </c>
      <c r="AM139" s="287">
        <v>47848</v>
      </c>
      <c r="AN139" s="286">
        <v>793375.98944000003</v>
      </c>
      <c r="AO139" s="303">
        <v>43375.989000000001</v>
      </c>
      <c r="AP139" s="269">
        <v>0</v>
      </c>
      <c r="AQ139" s="286">
        <v>0</v>
      </c>
      <c r="AR139" s="286">
        <v>0</v>
      </c>
      <c r="AS139" s="286">
        <v>0</v>
      </c>
      <c r="AT139" s="286">
        <v>0</v>
      </c>
      <c r="AU139" s="285">
        <v>750000.00044000009</v>
      </c>
      <c r="AV139" s="267">
        <f>AQ139-AD139</f>
        <v>0</v>
      </c>
      <c r="AW139" s="284"/>
      <c r="AX139" s="284"/>
    </row>
    <row r="140" spans="1:50" ht="150" customHeight="1" x14ac:dyDescent="0.2">
      <c r="A140" s="282">
        <v>115</v>
      </c>
      <c r="B140" s="282">
        <v>27</v>
      </c>
      <c r="C140" s="288" t="s">
        <v>346</v>
      </c>
      <c r="D140" s="288" t="s">
        <v>698</v>
      </c>
      <c r="E140" s="298" t="s">
        <v>895</v>
      </c>
      <c r="F140" s="296">
        <v>4.5</v>
      </c>
      <c r="G140" s="296"/>
      <c r="H140" s="297"/>
      <c r="I140" s="296"/>
      <c r="J140" s="295"/>
      <c r="K140" s="294"/>
      <c r="L140" s="294"/>
      <c r="M140" s="293"/>
      <c r="N140" s="293"/>
      <c r="O140" s="293"/>
      <c r="P140" s="292"/>
      <c r="Q140" s="275"/>
      <c r="R140" s="275"/>
      <c r="S140" s="291"/>
      <c r="T140" s="291"/>
      <c r="U140" s="292"/>
      <c r="V140" s="291"/>
      <c r="W140" s="292"/>
      <c r="X140" s="291"/>
      <c r="Y140" s="292"/>
      <c r="Z140" s="291"/>
      <c r="AA140" s="291"/>
      <c r="AB140" s="274"/>
      <c r="AC140" s="275"/>
      <c r="AD140" s="275"/>
      <c r="AE140" s="291"/>
      <c r="AF140" s="291"/>
      <c r="AG140" s="291"/>
      <c r="AH140" s="291"/>
      <c r="AI140" s="291"/>
      <c r="AJ140" s="290"/>
      <c r="AK140" s="289" t="s">
        <v>845</v>
      </c>
      <c r="AL140" s="288" t="s">
        <v>896</v>
      </c>
      <c r="AM140" s="287">
        <v>47848</v>
      </c>
      <c r="AN140" s="286">
        <v>698574.36300000001</v>
      </c>
      <c r="AO140" s="303">
        <v>30652.402999999998</v>
      </c>
      <c r="AP140" s="269">
        <v>0</v>
      </c>
      <c r="AQ140" s="286">
        <v>0</v>
      </c>
      <c r="AR140" s="286">
        <v>0</v>
      </c>
      <c r="AS140" s="286">
        <v>0</v>
      </c>
      <c r="AT140" s="286">
        <v>0</v>
      </c>
      <c r="AU140" s="285">
        <v>667921.96</v>
      </c>
      <c r="AV140" s="267">
        <f>AQ140-AD140</f>
        <v>0</v>
      </c>
      <c r="AW140" s="284"/>
      <c r="AX140" s="284"/>
    </row>
    <row r="141" spans="1:50" ht="150" customHeight="1" x14ac:dyDescent="0.2">
      <c r="A141" s="282">
        <v>116</v>
      </c>
      <c r="B141" s="282">
        <v>28</v>
      </c>
      <c r="C141" s="288" t="s">
        <v>346</v>
      </c>
      <c r="D141" s="288" t="s">
        <v>424</v>
      </c>
      <c r="E141" s="298" t="s">
        <v>897</v>
      </c>
      <c r="F141" s="296">
        <v>1.2</v>
      </c>
      <c r="G141" s="296"/>
      <c r="H141" s="297"/>
      <c r="I141" s="296"/>
      <c r="J141" s="295"/>
      <c r="K141" s="294"/>
      <c r="L141" s="294"/>
      <c r="M141" s="293"/>
      <c r="N141" s="293"/>
      <c r="O141" s="293"/>
      <c r="P141" s="292"/>
      <c r="Q141" s="275"/>
      <c r="R141" s="275"/>
      <c r="S141" s="291"/>
      <c r="T141" s="291"/>
      <c r="U141" s="292"/>
      <c r="V141" s="291"/>
      <c r="W141" s="292"/>
      <c r="X141" s="291"/>
      <c r="Y141" s="292"/>
      <c r="Z141" s="291"/>
      <c r="AA141" s="291"/>
      <c r="AB141" s="274"/>
      <c r="AC141" s="275"/>
      <c r="AD141" s="275"/>
      <c r="AE141" s="291"/>
      <c r="AF141" s="291"/>
      <c r="AG141" s="291"/>
      <c r="AH141" s="291"/>
      <c r="AI141" s="291"/>
      <c r="AJ141" s="290"/>
      <c r="AK141" s="289" t="s">
        <v>845</v>
      </c>
      <c r="AL141" s="288" t="s">
        <v>898</v>
      </c>
      <c r="AM141" s="287">
        <v>47848</v>
      </c>
      <c r="AN141" s="286">
        <v>601827.76599999995</v>
      </c>
      <c r="AO141" s="286">
        <v>21827.766</v>
      </c>
      <c r="AP141" s="269">
        <v>0</v>
      </c>
      <c r="AQ141" s="286">
        <v>0</v>
      </c>
      <c r="AR141" s="286">
        <v>0</v>
      </c>
      <c r="AS141" s="286">
        <v>0</v>
      </c>
      <c r="AT141" s="286">
        <v>0</v>
      </c>
      <c r="AU141" s="285">
        <v>580000</v>
      </c>
      <c r="AV141" s="267">
        <f>AQ141-AD141</f>
        <v>0</v>
      </c>
      <c r="AW141" s="284"/>
      <c r="AX141" s="284"/>
    </row>
    <row r="142" spans="1:50" ht="150" customHeight="1" x14ac:dyDescent="0.2">
      <c r="A142" s="283">
        <v>117</v>
      </c>
      <c r="B142" s="283">
        <v>29</v>
      </c>
      <c r="C142" s="288" t="s">
        <v>346</v>
      </c>
      <c r="D142" s="300" t="s">
        <v>801</v>
      </c>
      <c r="E142" s="308" t="s">
        <v>899</v>
      </c>
      <c r="F142" s="307">
        <v>1.3</v>
      </c>
      <c r="G142" s="307"/>
      <c r="H142" s="297"/>
      <c r="I142" s="307"/>
      <c r="J142" s="306"/>
      <c r="K142" s="294"/>
      <c r="L142" s="294"/>
      <c r="M142" s="293"/>
      <c r="N142" s="293"/>
      <c r="O142" s="293"/>
      <c r="P142" s="292"/>
      <c r="Q142" s="275"/>
      <c r="R142" s="275"/>
      <c r="S142" s="291"/>
      <c r="T142" s="291"/>
      <c r="U142" s="292"/>
      <c r="V142" s="291"/>
      <c r="W142" s="292"/>
      <c r="X142" s="291"/>
      <c r="Y142" s="292"/>
      <c r="Z142" s="291"/>
      <c r="AA142" s="291"/>
      <c r="AB142" s="274"/>
      <c r="AC142" s="275"/>
      <c r="AD142" s="275"/>
      <c r="AE142" s="291"/>
      <c r="AF142" s="291"/>
      <c r="AG142" s="291"/>
      <c r="AH142" s="291"/>
      <c r="AI142" s="291"/>
      <c r="AJ142" s="290"/>
      <c r="AK142" s="289" t="s">
        <v>353</v>
      </c>
      <c r="AL142" s="287" t="s">
        <v>900</v>
      </c>
      <c r="AM142" s="305">
        <v>47848</v>
      </c>
      <c r="AN142" s="303">
        <v>550000</v>
      </c>
      <c r="AO142" s="303">
        <v>0</v>
      </c>
      <c r="AP142" s="299">
        <v>0</v>
      </c>
      <c r="AQ142" s="303">
        <v>86352.236999999994</v>
      </c>
      <c r="AR142" s="303">
        <v>113647.76300000001</v>
      </c>
      <c r="AS142" s="303">
        <v>0</v>
      </c>
      <c r="AT142" s="303">
        <v>0</v>
      </c>
      <c r="AU142" s="304">
        <v>350000</v>
      </c>
      <c r="AV142" s="267">
        <f>AQ142-AD142</f>
        <v>86352.236999999994</v>
      </c>
      <c r="AW142" s="284"/>
      <c r="AX142" s="284"/>
    </row>
    <row r="143" spans="1:50" ht="150" customHeight="1" x14ac:dyDescent="0.2">
      <c r="A143" s="282">
        <v>118</v>
      </c>
      <c r="B143" s="282">
        <v>30</v>
      </c>
      <c r="C143" s="288" t="s">
        <v>346</v>
      </c>
      <c r="D143" s="288" t="s">
        <v>414</v>
      </c>
      <c r="E143" s="298" t="s">
        <v>901</v>
      </c>
      <c r="F143" s="296">
        <v>5.7</v>
      </c>
      <c r="G143" s="296"/>
      <c r="H143" s="297"/>
      <c r="I143" s="296"/>
      <c r="J143" s="295"/>
      <c r="K143" s="294"/>
      <c r="L143" s="294"/>
      <c r="M143" s="293"/>
      <c r="N143" s="293"/>
      <c r="O143" s="293"/>
      <c r="P143" s="292"/>
      <c r="Q143" s="275"/>
      <c r="R143" s="275"/>
      <c r="S143" s="291"/>
      <c r="T143" s="291"/>
      <c r="U143" s="292"/>
      <c r="V143" s="291"/>
      <c r="W143" s="292"/>
      <c r="X143" s="291"/>
      <c r="Y143" s="292"/>
      <c r="Z143" s="291"/>
      <c r="AA143" s="291"/>
      <c r="AB143" s="274"/>
      <c r="AC143" s="275"/>
      <c r="AD143" s="275"/>
      <c r="AE143" s="291"/>
      <c r="AF143" s="291"/>
      <c r="AG143" s="291"/>
      <c r="AH143" s="291"/>
      <c r="AI143" s="291"/>
      <c r="AJ143" s="290"/>
      <c r="AK143" s="289" t="s">
        <v>845</v>
      </c>
      <c r="AL143" s="288" t="s">
        <v>902</v>
      </c>
      <c r="AM143" s="287">
        <v>47848</v>
      </c>
      <c r="AN143" s="286">
        <v>520100</v>
      </c>
      <c r="AO143" s="286">
        <v>26667.451000000001</v>
      </c>
      <c r="AP143" s="269">
        <v>0</v>
      </c>
      <c r="AQ143" s="286">
        <v>0</v>
      </c>
      <c r="AR143" s="286">
        <v>0</v>
      </c>
      <c r="AS143" s="286">
        <v>0</v>
      </c>
      <c r="AT143" s="286">
        <v>0</v>
      </c>
      <c r="AU143" s="285">
        <v>493432.549</v>
      </c>
      <c r="AV143" s="267">
        <f>AQ143-AD143</f>
        <v>0</v>
      </c>
      <c r="AW143" s="284"/>
      <c r="AX143" s="284"/>
    </row>
    <row r="144" spans="1:50" ht="150" customHeight="1" x14ac:dyDescent="0.2">
      <c r="A144" s="282">
        <v>119</v>
      </c>
      <c r="B144" s="282">
        <v>31</v>
      </c>
      <c r="C144" s="288" t="s">
        <v>346</v>
      </c>
      <c r="D144" s="288" t="s">
        <v>903</v>
      </c>
      <c r="E144" s="298" t="s">
        <v>904</v>
      </c>
      <c r="F144" s="296">
        <v>2.3239999999999998</v>
      </c>
      <c r="G144" s="296"/>
      <c r="H144" s="297"/>
      <c r="I144" s="296"/>
      <c r="J144" s="295"/>
      <c r="K144" s="294"/>
      <c r="L144" s="294"/>
      <c r="M144" s="293"/>
      <c r="N144" s="293"/>
      <c r="O144" s="293"/>
      <c r="P144" s="292"/>
      <c r="Q144" s="275"/>
      <c r="R144" s="275"/>
      <c r="S144" s="291"/>
      <c r="T144" s="291"/>
      <c r="U144" s="292"/>
      <c r="V144" s="291"/>
      <c r="W144" s="292"/>
      <c r="X144" s="291"/>
      <c r="Y144" s="292"/>
      <c r="Z144" s="291"/>
      <c r="AA144" s="291"/>
      <c r="AB144" s="274"/>
      <c r="AC144" s="275"/>
      <c r="AD144" s="275"/>
      <c r="AE144" s="291"/>
      <c r="AF144" s="291"/>
      <c r="AG144" s="291"/>
      <c r="AH144" s="291"/>
      <c r="AI144" s="291"/>
      <c r="AJ144" s="290"/>
      <c r="AK144" s="289" t="s">
        <v>845</v>
      </c>
      <c r="AL144" s="288" t="s">
        <v>905</v>
      </c>
      <c r="AM144" s="287">
        <v>47848</v>
      </c>
      <c r="AN144" s="286">
        <v>328842.30699999997</v>
      </c>
      <c r="AO144" s="286">
        <v>16621.241000000002</v>
      </c>
      <c r="AP144" s="269">
        <v>0</v>
      </c>
      <c r="AQ144" s="286">
        <v>0</v>
      </c>
      <c r="AR144" s="286">
        <v>0</v>
      </c>
      <c r="AS144" s="286">
        <v>0</v>
      </c>
      <c r="AT144" s="286">
        <v>0</v>
      </c>
      <c r="AU144" s="285">
        <v>312221.06599999999</v>
      </c>
      <c r="AV144" s="267">
        <f>AQ144-AD144</f>
        <v>0</v>
      </c>
      <c r="AW144" s="284"/>
      <c r="AX144" s="284"/>
    </row>
    <row r="145" spans="1:50" ht="150" customHeight="1" x14ac:dyDescent="0.2">
      <c r="A145" s="283">
        <v>120</v>
      </c>
      <c r="B145" s="283">
        <v>32</v>
      </c>
      <c r="C145" s="288" t="s">
        <v>346</v>
      </c>
      <c r="D145" s="288" t="s">
        <v>483</v>
      </c>
      <c r="E145" s="298" t="s">
        <v>906</v>
      </c>
      <c r="F145" s="296">
        <v>1.6</v>
      </c>
      <c r="G145" s="296"/>
      <c r="H145" s="297"/>
      <c r="I145" s="296"/>
      <c r="J145" s="295"/>
      <c r="K145" s="294"/>
      <c r="L145" s="294"/>
      <c r="M145" s="293"/>
      <c r="N145" s="293"/>
      <c r="O145" s="293"/>
      <c r="P145" s="292"/>
      <c r="Q145" s="275"/>
      <c r="R145" s="275"/>
      <c r="S145" s="291"/>
      <c r="T145" s="291"/>
      <c r="U145" s="292"/>
      <c r="V145" s="291"/>
      <c r="W145" s="292"/>
      <c r="X145" s="291"/>
      <c r="Y145" s="292"/>
      <c r="Z145" s="291"/>
      <c r="AA145" s="291"/>
      <c r="AB145" s="274"/>
      <c r="AC145" s="275"/>
      <c r="AD145" s="275"/>
      <c r="AE145" s="291"/>
      <c r="AF145" s="291"/>
      <c r="AG145" s="291"/>
      <c r="AH145" s="291"/>
      <c r="AI145" s="291"/>
      <c r="AJ145" s="290"/>
      <c r="AK145" s="289" t="s">
        <v>845</v>
      </c>
      <c r="AL145" s="288" t="s">
        <v>860</v>
      </c>
      <c r="AM145" s="287">
        <v>47848</v>
      </c>
      <c r="AN145" s="286">
        <v>320000</v>
      </c>
      <c r="AO145" s="286">
        <v>0</v>
      </c>
      <c r="AP145" s="269">
        <v>0</v>
      </c>
      <c r="AQ145" s="286">
        <v>0</v>
      </c>
      <c r="AR145" s="286">
        <v>0</v>
      </c>
      <c r="AS145" s="286">
        <v>0</v>
      </c>
      <c r="AT145" s="286">
        <v>0</v>
      </c>
      <c r="AU145" s="285">
        <v>320000</v>
      </c>
      <c r="AV145" s="267">
        <f>AQ145-AD145</f>
        <v>0</v>
      </c>
      <c r="AW145" s="284"/>
      <c r="AX145" s="284"/>
    </row>
    <row r="146" spans="1:50" ht="150" customHeight="1" x14ac:dyDescent="0.2">
      <c r="A146" s="282">
        <v>121</v>
      </c>
      <c r="B146" s="282">
        <v>33</v>
      </c>
      <c r="C146" s="288" t="s">
        <v>346</v>
      </c>
      <c r="D146" s="288" t="s">
        <v>439</v>
      </c>
      <c r="E146" s="298" t="s">
        <v>907</v>
      </c>
      <c r="F146" s="296">
        <v>0.81</v>
      </c>
      <c r="G146" s="296">
        <v>200</v>
      </c>
      <c r="H146" s="297"/>
      <c r="I146" s="296"/>
      <c r="J146" s="295"/>
      <c r="K146" s="294"/>
      <c r="L146" s="294"/>
      <c r="M146" s="293"/>
      <c r="N146" s="293"/>
      <c r="O146" s="293"/>
      <c r="P146" s="292"/>
      <c r="Q146" s="275"/>
      <c r="R146" s="275"/>
      <c r="S146" s="291"/>
      <c r="T146" s="291"/>
      <c r="U146" s="292"/>
      <c r="V146" s="291"/>
      <c r="W146" s="292"/>
      <c r="X146" s="291"/>
      <c r="Y146" s="292"/>
      <c r="Z146" s="291"/>
      <c r="AA146" s="291"/>
      <c r="AB146" s="274"/>
      <c r="AC146" s="275"/>
      <c r="AD146" s="275"/>
      <c r="AE146" s="291"/>
      <c r="AF146" s="291"/>
      <c r="AG146" s="291"/>
      <c r="AH146" s="291"/>
      <c r="AI146" s="291"/>
      <c r="AJ146" s="290"/>
      <c r="AK146" s="289" t="s">
        <v>845</v>
      </c>
      <c r="AL146" s="288" t="s">
        <v>884</v>
      </c>
      <c r="AM146" s="287">
        <v>47848</v>
      </c>
      <c r="AN146" s="286">
        <v>310869.03099999996</v>
      </c>
      <c r="AO146" s="303">
        <v>40869.030999999995</v>
      </c>
      <c r="AP146" s="269">
        <v>0</v>
      </c>
      <c r="AQ146" s="286">
        <v>0</v>
      </c>
      <c r="AR146" s="286">
        <v>0</v>
      </c>
      <c r="AS146" s="286">
        <v>0</v>
      </c>
      <c r="AT146" s="286">
        <v>0</v>
      </c>
      <c r="AU146" s="285">
        <v>269999.99999999994</v>
      </c>
      <c r="AV146" s="267">
        <f>AQ146-AD146</f>
        <v>0</v>
      </c>
      <c r="AW146" s="284"/>
      <c r="AX146" s="284"/>
    </row>
    <row r="147" spans="1:50" ht="150" customHeight="1" x14ac:dyDescent="0.2">
      <c r="A147" s="282">
        <v>122</v>
      </c>
      <c r="B147" s="282">
        <v>34</v>
      </c>
      <c r="C147" s="288" t="s">
        <v>346</v>
      </c>
      <c r="D147" s="288" t="s">
        <v>424</v>
      </c>
      <c r="E147" s="298" t="s">
        <v>908</v>
      </c>
      <c r="F147" s="296">
        <v>2.1</v>
      </c>
      <c r="G147" s="296"/>
      <c r="H147" s="297"/>
      <c r="I147" s="296"/>
      <c r="J147" s="295"/>
      <c r="K147" s="294"/>
      <c r="L147" s="294"/>
      <c r="M147" s="293"/>
      <c r="N147" s="293"/>
      <c r="O147" s="293"/>
      <c r="P147" s="292"/>
      <c r="Q147" s="275"/>
      <c r="R147" s="275"/>
      <c r="S147" s="291"/>
      <c r="T147" s="291"/>
      <c r="U147" s="292"/>
      <c r="V147" s="291"/>
      <c r="W147" s="292"/>
      <c r="X147" s="291"/>
      <c r="Y147" s="292"/>
      <c r="Z147" s="291"/>
      <c r="AA147" s="291"/>
      <c r="AB147" s="274"/>
      <c r="AC147" s="275"/>
      <c r="AD147" s="275"/>
      <c r="AE147" s="291"/>
      <c r="AF147" s="291"/>
      <c r="AG147" s="291"/>
      <c r="AH147" s="291"/>
      <c r="AI147" s="291"/>
      <c r="AJ147" s="290"/>
      <c r="AK147" s="289" t="s">
        <v>845</v>
      </c>
      <c r="AL147" s="288" t="s">
        <v>909</v>
      </c>
      <c r="AM147" s="287">
        <v>47848</v>
      </c>
      <c r="AN147" s="286">
        <v>302890.89899999998</v>
      </c>
      <c r="AO147" s="286">
        <v>3261.9630000000002</v>
      </c>
      <c r="AP147" s="269">
        <v>0</v>
      </c>
      <c r="AQ147" s="286">
        <v>0</v>
      </c>
      <c r="AR147" s="286">
        <v>0</v>
      </c>
      <c r="AS147" s="286">
        <v>0</v>
      </c>
      <c r="AT147" s="286">
        <v>0</v>
      </c>
      <c r="AU147" s="285">
        <v>299628.93599999999</v>
      </c>
      <c r="AV147" s="267">
        <f>AQ147-AD147</f>
        <v>0</v>
      </c>
      <c r="AW147" s="284"/>
      <c r="AX147" s="284"/>
    </row>
    <row r="148" spans="1:50" ht="150" customHeight="1" x14ac:dyDescent="0.2">
      <c r="A148" s="283">
        <v>123</v>
      </c>
      <c r="B148" s="283">
        <v>35</v>
      </c>
      <c r="C148" s="288" t="s">
        <v>346</v>
      </c>
      <c r="D148" s="288" t="s">
        <v>910</v>
      </c>
      <c r="E148" s="298" t="s">
        <v>911</v>
      </c>
      <c r="F148" s="296">
        <v>1.5</v>
      </c>
      <c r="G148" s="296">
        <v>52.2</v>
      </c>
      <c r="H148" s="297"/>
      <c r="I148" s="296"/>
      <c r="J148" s="295"/>
      <c r="K148" s="294"/>
      <c r="L148" s="294"/>
      <c r="M148" s="293"/>
      <c r="N148" s="293"/>
      <c r="O148" s="293"/>
      <c r="P148" s="292"/>
      <c r="Q148" s="275"/>
      <c r="R148" s="275"/>
      <c r="S148" s="291"/>
      <c r="T148" s="291"/>
      <c r="U148" s="292"/>
      <c r="V148" s="291"/>
      <c r="W148" s="292"/>
      <c r="X148" s="291"/>
      <c r="Y148" s="292"/>
      <c r="Z148" s="291"/>
      <c r="AA148" s="291"/>
      <c r="AB148" s="274"/>
      <c r="AC148" s="275"/>
      <c r="AD148" s="275"/>
      <c r="AE148" s="291"/>
      <c r="AF148" s="291"/>
      <c r="AG148" s="291"/>
      <c r="AH148" s="291"/>
      <c r="AI148" s="291"/>
      <c r="AJ148" s="290"/>
      <c r="AK148" s="289" t="s">
        <v>845</v>
      </c>
      <c r="AL148" s="288" t="s">
        <v>912</v>
      </c>
      <c r="AM148" s="287">
        <v>47848</v>
      </c>
      <c r="AN148" s="286">
        <v>264938.25199999998</v>
      </c>
      <c r="AO148" s="303">
        <v>19938.252</v>
      </c>
      <c r="AP148" s="269">
        <v>0</v>
      </c>
      <c r="AQ148" s="286">
        <v>0</v>
      </c>
      <c r="AR148" s="286">
        <v>0</v>
      </c>
      <c r="AS148" s="286">
        <v>0</v>
      </c>
      <c r="AT148" s="286">
        <v>0</v>
      </c>
      <c r="AU148" s="285">
        <v>244999.99999999997</v>
      </c>
      <c r="AV148" s="267">
        <f>AQ148-AD148</f>
        <v>0</v>
      </c>
      <c r="AW148" s="284"/>
      <c r="AX148" s="284"/>
    </row>
    <row r="149" spans="1:50" ht="150" customHeight="1" x14ac:dyDescent="0.2">
      <c r="A149" s="282">
        <v>124</v>
      </c>
      <c r="B149" s="282">
        <v>36</v>
      </c>
      <c r="C149" s="302" t="s">
        <v>520</v>
      </c>
      <c r="D149" s="300" t="s">
        <v>913</v>
      </c>
      <c r="E149" s="301" t="s">
        <v>914</v>
      </c>
      <c r="F149" s="296">
        <v>0.32119999999999999</v>
      </c>
      <c r="G149" s="296"/>
      <c r="H149" s="297"/>
      <c r="I149" s="296"/>
      <c r="J149" s="295"/>
      <c r="K149" s="294"/>
      <c r="L149" s="294"/>
      <c r="M149" s="293"/>
      <c r="N149" s="293"/>
      <c r="O149" s="293"/>
      <c r="P149" s="292"/>
      <c r="Q149" s="275"/>
      <c r="R149" s="275"/>
      <c r="S149" s="291"/>
      <c r="T149" s="291"/>
      <c r="U149" s="292"/>
      <c r="V149" s="291"/>
      <c r="W149" s="292"/>
      <c r="X149" s="291"/>
      <c r="Y149" s="292"/>
      <c r="Z149" s="291"/>
      <c r="AA149" s="291"/>
      <c r="AB149" s="274"/>
      <c r="AC149" s="275"/>
      <c r="AD149" s="275"/>
      <c r="AE149" s="291"/>
      <c r="AF149" s="291"/>
      <c r="AG149" s="291"/>
      <c r="AH149" s="291"/>
      <c r="AI149" s="291"/>
      <c r="AJ149" s="290"/>
      <c r="AK149" s="289" t="s">
        <v>845</v>
      </c>
      <c r="AL149" s="300" t="s">
        <v>915</v>
      </c>
      <c r="AM149" s="287">
        <v>47848</v>
      </c>
      <c r="AN149" s="299">
        <v>139820.18</v>
      </c>
      <c r="AO149" s="286">
        <v>334.90600000000001</v>
      </c>
      <c r="AP149" s="269">
        <v>0</v>
      </c>
      <c r="AQ149" s="286">
        <v>0</v>
      </c>
      <c r="AR149" s="286">
        <v>0</v>
      </c>
      <c r="AS149" s="286">
        <v>0</v>
      </c>
      <c r="AT149" s="286">
        <v>0</v>
      </c>
      <c r="AU149" s="285">
        <v>139485.274</v>
      </c>
      <c r="AV149" s="267">
        <f>AQ149-AD149</f>
        <v>0</v>
      </c>
      <c r="AW149" s="284"/>
      <c r="AX149" s="284"/>
    </row>
    <row r="150" spans="1:50" ht="150" customHeight="1" x14ac:dyDescent="0.2">
      <c r="A150" s="282">
        <v>125</v>
      </c>
      <c r="B150" s="282">
        <v>37</v>
      </c>
      <c r="C150" s="288" t="s">
        <v>346</v>
      </c>
      <c r="D150" s="288" t="s">
        <v>913</v>
      </c>
      <c r="E150" s="298" t="s">
        <v>916</v>
      </c>
      <c r="F150" s="296">
        <v>1.1000000000000001</v>
      </c>
      <c r="G150" s="296"/>
      <c r="H150" s="297"/>
      <c r="I150" s="296"/>
      <c r="J150" s="295"/>
      <c r="K150" s="294"/>
      <c r="L150" s="294"/>
      <c r="M150" s="293"/>
      <c r="N150" s="293"/>
      <c r="O150" s="293"/>
      <c r="P150" s="292"/>
      <c r="Q150" s="275"/>
      <c r="R150" s="275"/>
      <c r="S150" s="291"/>
      <c r="T150" s="291"/>
      <c r="U150" s="292"/>
      <c r="V150" s="291"/>
      <c r="W150" s="292"/>
      <c r="X150" s="291"/>
      <c r="Y150" s="292"/>
      <c r="Z150" s="291"/>
      <c r="AA150" s="291"/>
      <c r="AB150" s="274"/>
      <c r="AC150" s="275"/>
      <c r="AD150" s="275"/>
      <c r="AE150" s="291"/>
      <c r="AF150" s="291"/>
      <c r="AG150" s="291"/>
      <c r="AH150" s="291"/>
      <c r="AI150" s="291"/>
      <c r="AJ150" s="290"/>
      <c r="AK150" s="289" t="s">
        <v>845</v>
      </c>
      <c r="AL150" s="288" t="s">
        <v>917</v>
      </c>
      <c r="AM150" s="287">
        <v>47848</v>
      </c>
      <c r="AN150" s="286">
        <v>182537.95600000001</v>
      </c>
      <c r="AO150" s="286">
        <v>11504.296</v>
      </c>
      <c r="AP150" s="269">
        <v>0</v>
      </c>
      <c r="AQ150" s="286">
        <v>0</v>
      </c>
      <c r="AR150" s="286">
        <v>0</v>
      </c>
      <c r="AS150" s="286">
        <v>0</v>
      </c>
      <c r="AT150" s="286">
        <v>0</v>
      </c>
      <c r="AU150" s="285">
        <v>171033.66</v>
      </c>
      <c r="AV150" s="267">
        <f>AQ150-AD150</f>
        <v>0</v>
      </c>
      <c r="AW150" s="284"/>
      <c r="AX150" s="284"/>
    </row>
    <row r="151" spans="1:50" ht="150" customHeight="1" x14ac:dyDescent="0.2">
      <c r="A151" s="283">
        <v>126</v>
      </c>
      <c r="B151" s="283">
        <v>38</v>
      </c>
      <c r="C151" s="288" t="s">
        <v>346</v>
      </c>
      <c r="D151" s="288" t="s">
        <v>744</v>
      </c>
      <c r="E151" s="298" t="s">
        <v>918</v>
      </c>
      <c r="F151" s="296">
        <v>0.7</v>
      </c>
      <c r="G151" s="296"/>
      <c r="H151" s="297"/>
      <c r="I151" s="296"/>
      <c r="J151" s="295"/>
      <c r="K151" s="294"/>
      <c r="L151" s="294"/>
      <c r="M151" s="293"/>
      <c r="N151" s="293"/>
      <c r="O151" s="293"/>
      <c r="P151" s="292"/>
      <c r="Q151" s="275"/>
      <c r="R151" s="275"/>
      <c r="S151" s="291"/>
      <c r="T151" s="291"/>
      <c r="U151" s="292"/>
      <c r="V151" s="291"/>
      <c r="W151" s="292"/>
      <c r="X151" s="291"/>
      <c r="Y151" s="292"/>
      <c r="Z151" s="291"/>
      <c r="AA151" s="291"/>
      <c r="AB151" s="274"/>
      <c r="AC151" s="275"/>
      <c r="AD151" s="275"/>
      <c r="AE151" s="291"/>
      <c r="AF151" s="291"/>
      <c r="AG151" s="291"/>
      <c r="AH151" s="291"/>
      <c r="AI151" s="291"/>
      <c r="AJ151" s="290"/>
      <c r="AK151" s="289" t="s">
        <v>845</v>
      </c>
      <c r="AL151" s="288" t="s">
        <v>919</v>
      </c>
      <c r="AM151" s="287">
        <v>47848</v>
      </c>
      <c r="AN151" s="286">
        <v>94176.616999999998</v>
      </c>
      <c r="AO151" s="286">
        <v>8548.1170000000002</v>
      </c>
      <c r="AP151" s="269">
        <v>0</v>
      </c>
      <c r="AQ151" s="286">
        <v>0</v>
      </c>
      <c r="AR151" s="286">
        <v>0</v>
      </c>
      <c r="AS151" s="286">
        <v>0</v>
      </c>
      <c r="AT151" s="286">
        <v>0</v>
      </c>
      <c r="AU151" s="285">
        <v>85628.5</v>
      </c>
      <c r="AV151" s="267">
        <f>AQ151-AD151</f>
        <v>0</v>
      </c>
      <c r="AW151" s="284"/>
      <c r="AX151" s="284"/>
    </row>
    <row r="152" spans="1:50" ht="150" customHeight="1" x14ac:dyDescent="0.2">
      <c r="A152" s="282">
        <v>127</v>
      </c>
      <c r="B152" s="282">
        <v>39</v>
      </c>
      <c r="C152" s="288" t="s">
        <v>346</v>
      </c>
      <c r="D152" s="288" t="s">
        <v>920</v>
      </c>
      <c r="E152" s="298" t="s">
        <v>921</v>
      </c>
      <c r="F152" s="296">
        <v>0.65729000000000004</v>
      </c>
      <c r="G152" s="296"/>
      <c r="H152" s="297"/>
      <c r="I152" s="296"/>
      <c r="J152" s="295"/>
      <c r="K152" s="294"/>
      <c r="L152" s="294"/>
      <c r="M152" s="293"/>
      <c r="N152" s="293"/>
      <c r="O152" s="293"/>
      <c r="P152" s="292"/>
      <c r="Q152" s="275"/>
      <c r="R152" s="275"/>
      <c r="S152" s="291"/>
      <c r="T152" s="291"/>
      <c r="U152" s="292"/>
      <c r="V152" s="291"/>
      <c r="W152" s="292"/>
      <c r="X152" s="291"/>
      <c r="Y152" s="292"/>
      <c r="Z152" s="291"/>
      <c r="AA152" s="291"/>
      <c r="AB152" s="274"/>
      <c r="AC152" s="275"/>
      <c r="AD152" s="275"/>
      <c r="AE152" s="291"/>
      <c r="AF152" s="291"/>
      <c r="AG152" s="291"/>
      <c r="AH152" s="291"/>
      <c r="AI152" s="291"/>
      <c r="AJ152" s="290"/>
      <c r="AK152" s="289" t="s">
        <v>845</v>
      </c>
      <c r="AL152" s="288" t="s">
        <v>922</v>
      </c>
      <c r="AM152" s="287">
        <v>47848</v>
      </c>
      <c r="AN152" s="286">
        <v>89257.082999999999</v>
      </c>
      <c r="AO152" s="286">
        <v>66504.08</v>
      </c>
      <c r="AP152" s="269">
        <v>0</v>
      </c>
      <c r="AQ152" s="286">
        <v>0</v>
      </c>
      <c r="AR152" s="286">
        <v>0</v>
      </c>
      <c r="AS152" s="286">
        <v>0</v>
      </c>
      <c r="AT152" s="286">
        <v>0</v>
      </c>
      <c r="AU152" s="285">
        <v>22753.002999999997</v>
      </c>
      <c r="AV152" s="267">
        <f>AQ152-AD152</f>
        <v>0</v>
      </c>
      <c r="AW152" s="284"/>
      <c r="AX152" s="284"/>
    </row>
    <row r="153" spans="1:50" ht="150" customHeight="1" x14ac:dyDescent="0.2">
      <c r="A153" s="282">
        <v>128</v>
      </c>
      <c r="B153" s="282">
        <v>40</v>
      </c>
      <c r="C153" s="288" t="s">
        <v>346</v>
      </c>
      <c r="D153" s="288" t="s">
        <v>382</v>
      </c>
      <c r="E153" s="298" t="s">
        <v>923</v>
      </c>
      <c r="F153" s="296">
        <v>0.24</v>
      </c>
      <c r="G153" s="296"/>
      <c r="H153" s="297"/>
      <c r="I153" s="296"/>
      <c r="J153" s="295"/>
      <c r="K153" s="294"/>
      <c r="L153" s="294"/>
      <c r="M153" s="293"/>
      <c r="N153" s="293"/>
      <c r="O153" s="293"/>
      <c r="P153" s="292"/>
      <c r="Q153" s="275"/>
      <c r="R153" s="275"/>
      <c r="S153" s="291"/>
      <c r="T153" s="291"/>
      <c r="U153" s="292"/>
      <c r="V153" s="291"/>
      <c r="W153" s="292"/>
      <c r="X153" s="291"/>
      <c r="Y153" s="292"/>
      <c r="Z153" s="291"/>
      <c r="AA153" s="291"/>
      <c r="AB153" s="274"/>
      <c r="AC153" s="275"/>
      <c r="AD153" s="275"/>
      <c r="AE153" s="291"/>
      <c r="AF153" s="291"/>
      <c r="AG153" s="291"/>
      <c r="AH153" s="291"/>
      <c r="AI153" s="291"/>
      <c r="AJ153" s="290"/>
      <c r="AK153" s="289" t="s">
        <v>845</v>
      </c>
      <c r="AL153" s="288" t="s">
        <v>924</v>
      </c>
      <c r="AM153" s="287">
        <v>47848</v>
      </c>
      <c r="AN153" s="286">
        <v>61964.203000000001</v>
      </c>
      <c r="AO153" s="286">
        <v>10146.243</v>
      </c>
      <c r="AP153" s="269">
        <v>0</v>
      </c>
      <c r="AQ153" s="286">
        <v>0</v>
      </c>
      <c r="AR153" s="286">
        <v>0</v>
      </c>
      <c r="AS153" s="286">
        <v>0</v>
      </c>
      <c r="AT153" s="286">
        <v>0</v>
      </c>
      <c r="AU153" s="285">
        <v>51817.96</v>
      </c>
      <c r="AV153" s="267">
        <f>AQ153-AD153</f>
        <v>0</v>
      </c>
      <c r="AW153" s="284"/>
      <c r="AX153" s="284"/>
    </row>
    <row r="154" spans="1:50" ht="150" customHeight="1" x14ac:dyDescent="0.2">
      <c r="A154" s="283">
        <v>129</v>
      </c>
      <c r="B154" s="283">
        <v>41</v>
      </c>
      <c r="C154" s="271" t="s">
        <v>346</v>
      </c>
      <c r="D154" s="271" t="s">
        <v>790</v>
      </c>
      <c r="E154" s="281" t="s">
        <v>925</v>
      </c>
      <c r="F154" s="279"/>
      <c r="G154" s="279"/>
      <c r="H154" s="280"/>
      <c r="I154" s="279"/>
      <c r="J154" s="278"/>
      <c r="K154" s="277"/>
      <c r="L154" s="277"/>
      <c r="M154" s="276"/>
      <c r="N154" s="276"/>
      <c r="O154" s="276"/>
      <c r="P154" s="275"/>
      <c r="Q154" s="275"/>
      <c r="R154" s="275"/>
      <c r="S154" s="274"/>
      <c r="T154" s="274"/>
      <c r="U154" s="275"/>
      <c r="V154" s="274"/>
      <c r="W154" s="275"/>
      <c r="X154" s="274"/>
      <c r="Y154" s="275"/>
      <c r="Z154" s="274"/>
      <c r="AA154" s="274"/>
      <c r="AB154" s="274"/>
      <c r="AC154" s="275"/>
      <c r="AD154" s="274"/>
      <c r="AE154" s="274"/>
      <c r="AF154" s="274"/>
      <c r="AG154" s="274"/>
      <c r="AH154" s="274"/>
      <c r="AI154" s="274"/>
      <c r="AJ154" s="273"/>
      <c r="AK154" s="272" t="s">
        <v>353</v>
      </c>
      <c r="AL154" s="271" t="s">
        <v>926</v>
      </c>
      <c r="AM154" s="270">
        <v>47207</v>
      </c>
      <c r="AN154" s="269">
        <v>237159.802</v>
      </c>
      <c r="AO154" s="269">
        <v>204683.37</v>
      </c>
      <c r="AP154" s="269">
        <v>0</v>
      </c>
      <c r="AQ154" s="269">
        <v>32476.432000000001</v>
      </c>
      <c r="AR154" s="269">
        <v>0</v>
      </c>
      <c r="AS154" s="269">
        <v>0</v>
      </c>
      <c r="AT154" s="269">
        <v>0</v>
      </c>
      <c r="AU154" s="268">
        <v>0</v>
      </c>
      <c r="AV154" s="267">
        <f>AQ154-AD154</f>
        <v>32476.432000000001</v>
      </c>
      <c r="AW154" s="266"/>
      <c r="AX154" s="266"/>
    </row>
    <row r="155" spans="1:50" ht="150" customHeight="1" x14ac:dyDescent="0.2">
      <c r="A155" s="282">
        <v>130</v>
      </c>
      <c r="B155" s="282">
        <v>42</v>
      </c>
      <c r="C155" s="271" t="s">
        <v>346</v>
      </c>
      <c r="D155" s="271" t="s">
        <v>927</v>
      </c>
      <c r="E155" s="281" t="s">
        <v>928</v>
      </c>
      <c r="F155" s="279"/>
      <c r="G155" s="279"/>
      <c r="H155" s="280"/>
      <c r="I155" s="279"/>
      <c r="J155" s="278"/>
      <c r="K155" s="277"/>
      <c r="L155" s="277"/>
      <c r="M155" s="276"/>
      <c r="N155" s="276"/>
      <c r="O155" s="276"/>
      <c r="P155" s="275"/>
      <c r="Q155" s="275"/>
      <c r="R155" s="275"/>
      <c r="S155" s="274"/>
      <c r="T155" s="274"/>
      <c r="U155" s="275"/>
      <c r="V155" s="274"/>
      <c r="W155" s="275"/>
      <c r="X155" s="274"/>
      <c r="Y155" s="275"/>
      <c r="Z155" s="274"/>
      <c r="AA155" s="274"/>
      <c r="AB155" s="274"/>
      <c r="AC155" s="275"/>
      <c r="AD155" s="274"/>
      <c r="AE155" s="274"/>
      <c r="AF155" s="274"/>
      <c r="AG155" s="274"/>
      <c r="AH155" s="274"/>
      <c r="AI155" s="274"/>
      <c r="AJ155" s="273"/>
      <c r="AK155" s="272" t="s">
        <v>353</v>
      </c>
      <c r="AL155" s="271" t="s">
        <v>926</v>
      </c>
      <c r="AM155" s="270">
        <v>47207</v>
      </c>
      <c r="AN155" s="269">
        <v>37769.392</v>
      </c>
      <c r="AO155" s="269">
        <v>1402.07</v>
      </c>
      <c r="AP155" s="269">
        <v>0</v>
      </c>
      <c r="AQ155" s="269">
        <v>36367.322</v>
      </c>
      <c r="AR155" s="269">
        <v>0</v>
      </c>
      <c r="AS155" s="269">
        <v>0</v>
      </c>
      <c r="AT155" s="269">
        <v>0</v>
      </c>
      <c r="AU155" s="268">
        <v>0</v>
      </c>
      <c r="AV155" s="267">
        <f>AQ155-AD155</f>
        <v>36367.322</v>
      </c>
      <c r="AW155" s="266"/>
      <c r="AX155" s="266"/>
    </row>
    <row r="156" spans="1:50" ht="15.75" hidden="1" customHeight="1" x14ac:dyDescent="0.95">
      <c r="A156" s="262"/>
      <c r="B156" s="262"/>
      <c r="D156" s="265"/>
      <c r="Q156" s="261"/>
      <c r="R156" s="261"/>
      <c r="AC156" s="264"/>
      <c r="AD156" s="264"/>
      <c r="AV156" s="260"/>
      <c r="AW156" s="263"/>
      <c r="AX156" s="263"/>
    </row>
    <row r="157" spans="1:50" ht="15.75" hidden="1" customHeight="1" x14ac:dyDescent="0.95">
      <c r="A157" s="262"/>
      <c r="B157" s="262"/>
      <c r="D157" s="265"/>
      <c r="Q157" s="261"/>
      <c r="R157" s="261"/>
      <c r="AC157" s="264"/>
      <c r="AD157" s="264"/>
      <c r="AV157" s="260"/>
      <c r="AW157" s="263"/>
      <c r="AX157" s="263"/>
    </row>
    <row r="158" spans="1:50" ht="15.75" hidden="1" customHeight="1" x14ac:dyDescent="0.95">
      <c r="A158" s="262"/>
      <c r="B158" s="262"/>
      <c r="D158" s="265"/>
      <c r="Q158" s="261"/>
      <c r="R158" s="261"/>
      <c r="AC158" s="264"/>
      <c r="AD158" s="264"/>
      <c r="AV158" s="260"/>
      <c r="AW158" s="263"/>
      <c r="AX158" s="263"/>
    </row>
    <row r="159" spans="1:50" ht="15.75" hidden="1" customHeight="1" x14ac:dyDescent="0.95">
      <c r="A159" s="262"/>
      <c r="B159" s="262"/>
      <c r="D159" s="265"/>
      <c r="Q159" s="261"/>
      <c r="R159" s="261"/>
      <c r="AC159" s="264"/>
      <c r="AD159" s="264"/>
      <c r="AV159" s="260"/>
      <c r="AW159" s="263"/>
      <c r="AX159" s="263"/>
    </row>
    <row r="160" spans="1:50" ht="15.75" hidden="1" customHeight="1" x14ac:dyDescent="0.95">
      <c r="A160" s="262"/>
      <c r="B160" s="262"/>
      <c r="D160" s="265"/>
      <c r="Q160" s="261"/>
      <c r="R160" s="261"/>
      <c r="AC160" s="264"/>
      <c r="AD160" s="264"/>
      <c r="AV160" s="260"/>
      <c r="AW160" s="263"/>
      <c r="AX160" s="263"/>
    </row>
    <row r="161" spans="1:50" ht="15.75" hidden="1" customHeight="1" x14ac:dyDescent="0.95">
      <c r="A161" s="262"/>
      <c r="B161" s="262"/>
      <c r="D161" s="265"/>
      <c r="Q161" s="261"/>
      <c r="R161" s="261"/>
      <c r="AC161" s="264"/>
      <c r="AD161" s="264"/>
      <c r="AV161" s="260"/>
      <c r="AW161" s="263"/>
      <c r="AX161" s="263"/>
    </row>
    <row r="162" spans="1:50" ht="15.75" hidden="1" customHeight="1" x14ac:dyDescent="0.95">
      <c r="A162" s="262"/>
      <c r="B162" s="262"/>
      <c r="Q162" s="261"/>
      <c r="R162" s="261"/>
      <c r="AV162" s="260"/>
    </row>
    <row r="163" spans="1:50" ht="15.75" hidden="1" customHeight="1" x14ac:dyDescent="0.95">
      <c r="A163" s="262"/>
      <c r="B163" s="262"/>
      <c r="Q163" s="261"/>
      <c r="R163" s="261"/>
      <c r="AV163" s="260"/>
    </row>
    <row r="164" spans="1:50" ht="15.75" hidden="1" customHeight="1" x14ac:dyDescent="0.95">
      <c r="A164" s="262"/>
      <c r="B164" s="262"/>
      <c r="Q164" s="261"/>
      <c r="R164" s="261"/>
      <c r="AV164" s="260"/>
    </row>
    <row r="165" spans="1:50" ht="15.75" hidden="1" customHeight="1" x14ac:dyDescent="0.95">
      <c r="A165" s="262"/>
      <c r="B165" s="262"/>
      <c r="Q165" s="261"/>
      <c r="R165" s="261"/>
      <c r="AV165" s="260"/>
    </row>
    <row r="166" spans="1:50" ht="15.75" hidden="1" customHeight="1" x14ac:dyDescent="0.95">
      <c r="A166" s="262"/>
      <c r="B166" s="262"/>
      <c r="Q166" s="261"/>
      <c r="R166" s="261"/>
      <c r="AV166" s="260"/>
    </row>
    <row r="167" spans="1:50" ht="15.75" hidden="1" customHeight="1" x14ac:dyDescent="0.95">
      <c r="A167" s="262"/>
      <c r="B167" s="262"/>
      <c r="Q167" s="261"/>
      <c r="R167" s="261"/>
      <c r="AV167" s="260"/>
    </row>
    <row r="168" spans="1:50" ht="15.75" hidden="1" customHeight="1" x14ac:dyDescent="0.95">
      <c r="A168" s="262"/>
      <c r="B168" s="262"/>
      <c r="Q168" s="261"/>
      <c r="R168" s="261"/>
      <c r="AV168" s="260"/>
    </row>
    <row r="169" spans="1:50" ht="15.75" hidden="1" customHeight="1" x14ac:dyDescent="0.95">
      <c r="A169" s="262"/>
      <c r="B169" s="262"/>
      <c r="Q169" s="261"/>
      <c r="R169" s="261"/>
      <c r="AV169" s="260"/>
    </row>
    <row r="170" spans="1:50" ht="15.75" hidden="1" customHeight="1" x14ac:dyDescent="0.95">
      <c r="A170" s="262"/>
      <c r="B170" s="262"/>
      <c r="Q170" s="261"/>
      <c r="R170" s="261"/>
      <c r="AV170" s="260"/>
    </row>
    <row r="171" spans="1:50" ht="15.75" hidden="1" customHeight="1" x14ac:dyDescent="0.95">
      <c r="A171" s="262"/>
      <c r="B171" s="262"/>
      <c r="Q171" s="261"/>
      <c r="R171" s="261"/>
      <c r="AV171" s="260"/>
    </row>
    <row r="172" spans="1:50" ht="15.75" hidden="1" customHeight="1" x14ac:dyDescent="0.95">
      <c r="A172" s="262"/>
      <c r="B172" s="262"/>
      <c r="Q172" s="261"/>
      <c r="R172" s="261"/>
      <c r="AV172" s="260"/>
    </row>
    <row r="173" spans="1:50" ht="15.75" hidden="1" customHeight="1" x14ac:dyDescent="0.95">
      <c r="A173" s="262"/>
      <c r="B173" s="262"/>
      <c r="Q173" s="261"/>
      <c r="R173" s="261"/>
      <c r="AV173" s="260"/>
    </row>
    <row r="174" spans="1:50" ht="15.75" hidden="1" customHeight="1" x14ac:dyDescent="0.95">
      <c r="A174" s="262"/>
      <c r="B174" s="262"/>
      <c r="Q174" s="261"/>
      <c r="R174" s="261"/>
      <c r="AV174" s="260"/>
    </row>
    <row r="175" spans="1:50" ht="15.75" hidden="1" customHeight="1" x14ac:dyDescent="0.95">
      <c r="A175" s="262"/>
      <c r="B175" s="262"/>
      <c r="Q175" s="261"/>
      <c r="R175" s="261"/>
      <c r="AV175" s="260"/>
    </row>
    <row r="176" spans="1:50" ht="15.75" hidden="1" customHeight="1" x14ac:dyDescent="0.95">
      <c r="A176" s="262"/>
      <c r="B176" s="262"/>
      <c r="Q176" s="261"/>
      <c r="R176" s="261"/>
      <c r="AV176" s="260"/>
    </row>
    <row r="177" spans="1:48" ht="15.75" hidden="1" customHeight="1" x14ac:dyDescent="0.95">
      <c r="A177" s="262"/>
      <c r="B177" s="262"/>
      <c r="Q177" s="261"/>
      <c r="R177" s="261"/>
      <c r="AV177" s="260"/>
    </row>
    <row r="178" spans="1:48" ht="15.75" hidden="1" customHeight="1" x14ac:dyDescent="0.95">
      <c r="A178" s="262"/>
      <c r="B178" s="262"/>
      <c r="Q178" s="261"/>
      <c r="R178" s="261"/>
      <c r="AV178" s="260"/>
    </row>
    <row r="179" spans="1:48" ht="15.75" hidden="1" customHeight="1" x14ac:dyDescent="0.95">
      <c r="A179" s="262"/>
      <c r="B179" s="262"/>
      <c r="Q179" s="261"/>
      <c r="R179" s="261"/>
      <c r="AV179" s="260"/>
    </row>
    <row r="180" spans="1:48" ht="15.75" hidden="1" customHeight="1" x14ac:dyDescent="0.95">
      <c r="A180" s="262"/>
      <c r="B180" s="262"/>
      <c r="Q180" s="261"/>
      <c r="R180" s="261"/>
      <c r="AV180" s="260"/>
    </row>
    <row r="181" spans="1:48" ht="15.75" hidden="1" customHeight="1" x14ac:dyDescent="0.95">
      <c r="A181" s="262"/>
      <c r="B181" s="262"/>
      <c r="Q181" s="261"/>
      <c r="R181" s="261"/>
      <c r="AV181" s="260"/>
    </row>
    <row r="182" spans="1:48" ht="15.75" hidden="1" customHeight="1" x14ac:dyDescent="0.95">
      <c r="A182" s="262"/>
      <c r="B182" s="262"/>
      <c r="Q182" s="261"/>
      <c r="R182" s="261"/>
      <c r="AV182" s="260"/>
    </row>
    <row r="183" spans="1:48" ht="15.75" hidden="1" customHeight="1" x14ac:dyDescent="0.95">
      <c r="A183" s="262"/>
      <c r="B183" s="262"/>
      <c r="Q183" s="261"/>
      <c r="R183" s="261"/>
      <c r="AV183" s="260"/>
    </row>
    <row r="184" spans="1:48" ht="15.75" hidden="1" customHeight="1" x14ac:dyDescent="0.95">
      <c r="A184" s="262"/>
      <c r="B184" s="262"/>
      <c r="Q184" s="261"/>
      <c r="R184" s="261"/>
      <c r="AV184" s="260"/>
    </row>
    <row r="185" spans="1:48" ht="15.75" hidden="1" customHeight="1" x14ac:dyDescent="0.95">
      <c r="A185" s="262"/>
      <c r="B185" s="262"/>
      <c r="Q185" s="261"/>
      <c r="R185" s="261"/>
      <c r="AV185" s="260"/>
    </row>
    <row r="186" spans="1:48" ht="15.75" hidden="1" customHeight="1" x14ac:dyDescent="0.95">
      <c r="A186" s="262"/>
      <c r="B186" s="262"/>
      <c r="Q186" s="261"/>
      <c r="R186" s="261"/>
      <c r="AV186" s="260"/>
    </row>
    <row r="187" spans="1:48" ht="15.75" hidden="1" customHeight="1" x14ac:dyDescent="0.95">
      <c r="A187" s="262"/>
      <c r="B187" s="262"/>
      <c r="Q187" s="261"/>
      <c r="R187" s="261"/>
      <c r="AV187" s="260"/>
    </row>
    <row r="188" spans="1:48" ht="15.75" hidden="1" customHeight="1" x14ac:dyDescent="0.95">
      <c r="A188" s="262"/>
      <c r="B188" s="262"/>
      <c r="Q188" s="261"/>
      <c r="R188" s="261"/>
      <c r="AV188" s="260"/>
    </row>
    <row r="189" spans="1:48" ht="15.75" hidden="1" customHeight="1" x14ac:dyDescent="0.95">
      <c r="A189" s="262"/>
      <c r="B189" s="262"/>
      <c r="Q189" s="261"/>
      <c r="R189" s="261"/>
      <c r="AV189" s="260"/>
    </row>
    <row r="190" spans="1:48" ht="15.75" hidden="1" customHeight="1" x14ac:dyDescent="0.95">
      <c r="A190" s="262"/>
      <c r="B190" s="262"/>
      <c r="Q190" s="261"/>
      <c r="R190" s="261"/>
      <c r="AV190" s="260"/>
    </row>
    <row r="191" spans="1:48" ht="15.75" hidden="1" customHeight="1" x14ac:dyDescent="0.95">
      <c r="A191" s="262"/>
      <c r="B191" s="262"/>
      <c r="Q191" s="261"/>
      <c r="R191" s="261"/>
      <c r="AV191" s="260"/>
    </row>
    <row r="192" spans="1:48" ht="15.75" hidden="1" customHeight="1" x14ac:dyDescent="0.95">
      <c r="A192" s="262"/>
      <c r="B192" s="262"/>
      <c r="Q192" s="261"/>
      <c r="R192" s="261"/>
      <c r="AV192" s="260"/>
    </row>
    <row r="193" spans="1:48" ht="15.75" hidden="1" customHeight="1" x14ac:dyDescent="0.95">
      <c r="A193" s="262"/>
      <c r="B193" s="262"/>
      <c r="Q193" s="261"/>
      <c r="R193" s="261"/>
      <c r="AV193" s="260"/>
    </row>
    <row r="194" spans="1:48" ht="15.75" hidden="1" customHeight="1" x14ac:dyDescent="0.95">
      <c r="A194" s="262"/>
      <c r="B194" s="262"/>
      <c r="Q194" s="261"/>
      <c r="R194" s="261"/>
      <c r="AV194" s="260"/>
    </row>
    <row r="195" spans="1:48" ht="15.75" hidden="1" customHeight="1" x14ac:dyDescent="0.95">
      <c r="A195" s="262"/>
      <c r="B195" s="262"/>
      <c r="Q195" s="261"/>
      <c r="R195" s="261"/>
      <c r="AV195" s="260"/>
    </row>
    <row r="196" spans="1:48" ht="15.75" hidden="1" customHeight="1" x14ac:dyDescent="0.95">
      <c r="A196" s="262"/>
      <c r="B196" s="262"/>
      <c r="Q196" s="261"/>
      <c r="R196" s="261"/>
      <c r="AV196" s="260"/>
    </row>
    <row r="197" spans="1:48" ht="15.75" hidden="1" customHeight="1" x14ac:dyDescent="0.95">
      <c r="A197" s="262"/>
      <c r="B197" s="262"/>
      <c r="Q197" s="261"/>
      <c r="R197" s="261"/>
      <c r="AV197" s="260"/>
    </row>
    <row r="198" spans="1:48" ht="15.75" hidden="1" customHeight="1" x14ac:dyDescent="0.95">
      <c r="A198" s="262"/>
      <c r="B198" s="262"/>
      <c r="Q198" s="261"/>
      <c r="R198" s="261"/>
      <c r="AV198" s="260"/>
    </row>
    <row r="199" spans="1:48" ht="15.75" customHeight="1" x14ac:dyDescent="0.95">
      <c r="A199" s="262"/>
      <c r="B199" s="262"/>
      <c r="Q199" s="261"/>
      <c r="R199" s="261"/>
      <c r="AV199" s="260"/>
    </row>
    <row r="200" spans="1:48" ht="15.75" customHeight="1" x14ac:dyDescent="0.95">
      <c r="A200" s="262"/>
      <c r="B200" s="262"/>
      <c r="Q200" s="261"/>
      <c r="R200" s="261"/>
      <c r="AV200" s="260"/>
    </row>
    <row r="201" spans="1:48" ht="15.75" customHeight="1" x14ac:dyDescent="0.95">
      <c r="A201" s="262"/>
      <c r="B201" s="262"/>
      <c r="Q201" s="261"/>
      <c r="R201" s="261"/>
      <c r="AV201" s="260"/>
    </row>
    <row r="202" spans="1:48" ht="15.75" customHeight="1" x14ac:dyDescent="0.95">
      <c r="A202" s="262"/>
      <c r="B202" s="262"/>
      <c r="Q202" s="261"/>
      <c r="R202" s="261"/>
      <c r="AV202" s="260"/>
    </row>
    <row r="203" spans="1:48" ht="15.75" customHeight="1" x14ac:dyDescent="0.95">
      <c r="A203" s="262"/>
      <c r="B203" s="262"/>
      <c r="Q203" s="261"/>
      <c r="R203" s="261"/>
      <c r="AV203" s="260"/>
    </row>
    <row r="204" spans="1:48" ht="15.75" customHeight="1" x14ac:dyDescent="0.95">
      <c r="A204" s="262"/>
      <c r="B204" s="262"/>
      <c r="Q204" s="261"/>
      <c r="R204" s="261"/>
      <c r="AV204" s="260"/>
    </row>
    <row r="205" spans="1:48" ht="15.75" customHeight="1" x14ac:dyDescent="0.95">
      <c r="A205" s="262"/>
      <c r="B205" s="262"/>
      <c r="Q205" s="261"/>
      <c r="R205" s="261"/>
      <c r="AV205" s="260"/>
    </row>
    <row r="206" spans="1:48" ht="15.75" customHeight="1" x14ac:dyDescent="0.95">
      <c r="A206" s="262"/>
      <c r="B206" s="262"/>
      <c r="Q206" s="261"/>
      <c r="R206" s="261"/>
      <c r="AV206" s="260"/>
    </row>
    <row r="207" spans="1:48" ht="15.75" customHeight="1" x14ac:dyDescent="0.95">
      <c r="A207" s="262"/>
      <c r="B207" s="262"/>
      <c r="Q207" s="261"/>
      <c r="R207" s="261"/>
      <c r="AV207" s="260"/>
    </row>
    <row r="208" spans="1:48" ht="15.75" customHeight="1" x14ac:dyDescent="0.95">
      <c r="A208" s="262"/>
      <c r="B208" s="262"/>
      <c r="Q208" s="261"/>
      <c r="R208" s="261"/>
      <c r="AV208" s="260"/>
    </row>
    <row r="209" spans="1:48" ht="15.75" customHeight="1" x14ac:dyDescent="0.95">
      <c r="A209" s="262"/>
      <c r="B209" s="262"/>
      <c r="Q209" s="261"/>
      <c r="R209" s="261"/>
      <c r="AV209" s="260"/>
    </row>
    <row r="210" spans="1:48" ht="15.75" customHeight="1" x14ac:dyDescent="0.95">
      <c r="A210" s="262"/>
      <c r="B210" s="262"/>
      <c r="Q210" s="261"/>
      <c r="R210" s="261"/>
      <c r="AV210" s="260"/>
    </row>
    <row r="211" spans="1:48" ht="15.75" customHeight="1" x14ac:dyDescent="0.95">
      <c r="A211" s="262"/>
      <c r="B211" s="262"/>
      <c r="Q211" s="261"/>
      <c r="R211" s="261"/>
      <c r="AV211" s="260"/>
    </row>
    <row r="212" spans="1:48" ht="15.75" customHeight="1" x14ac:dyDescent="0.95">
      <c r="A212" s="262"/>
      <c r="B212" s="262"/>
      <c r="Q212" s="261"/>
      <c r="R212" s="261"/>
      <c r="AV212" s="260"/>
    </row>
    <row r="213" spans="1:48" ht="15.75" customHeight="1" x14ac:dyDescent="0.95">
      <c r="A213" s="262"/>
      <c r="B213" s="262"/>
      <c r="Q213" s="261"/>
      <c r="R213" s="261"/>
      <c r="AV213" s="260"/>
    </row>
    <row r="214" spans="1:48" ht="15.75" customHeight="1" x14ac:dyDescent="0.95">
      <c r="A214" s="262"/>
      <c r="B214" s="262"/>
      <c r="Q214" s="261"/>
      <c r="R214" s="261"/>
      <c r="AV214" s="260"/>
    </row>
    <row r="215" spans="1:48" ht="15.75" customHeight="1" x14ac:dyDescent="0.95">
      <c r="A215" s="262"/>
      <c r="B215" s="262"/>
      <c r="Q215" s="261"/>
      <c r="R215" s="261"/>
      <c r="AV215" s="260"/>
    </row>
    <row r="216" spans="1:48" ht="15.75" customHeight="1" x14ac:dyDescent="0.95">
      <c r="A216" s="262"/>
      <c r="B216" s="262"/>
      <c r="Q216" s="261"/>
      <c r="R216" s="261"/>
      <c r="AV216" s="260"/>
    </row>
    <row r="217" spans="1:48" ht="15.75" customHeight="1" x14ac:dyDescent="0.95">
      <c r="A217" s="262"/>
      <c r="B217" s="262"/>
      <c r="Q217" s="261"/>
      <c r="R217" s="261"/>
      <c r="AV217" s="260"/>
    </row>
    <row r="218" spans="1:48" ht="15.75" customHeight="1" x14ac:dyDescent="0.95">
      <c r="A218" s="262"/>
      <c r="B218" s="262"/>
      <c r="Q218" s="261"/>
      <c r="R218" s="261"/>
      <c r="AV218" s="260"/>
    </row>
    <row r="219" spans="1:48" ht="15.75" customHeight="1" x14ac:dyDescent="0.95">
      <c r="A219" s="262"/>
      <c r="B219" s="262"/>
      <c r="Q219" s="261"/>
      <c r="R219" s="261"/>
      <c r="AV219" s="260"/>
    </row>
    <row r="220" spans="1:48" ht="15.75" customHeight="1" x14ac:dyDescent="0.95">
      <c r="A220" s="262"/>
      <c r="B220" s="262"/>
      <c r="Q220" s="261"/>
      <c r="R220" s="261"/>
      <c r="AV220" s="260"/>
    </row>
    <row r="221" spans="1:48" ht="15.75" customHeight="1" x14ac:dyDescent="0.95">
      <c r="A221" s="262"/>
      <c r="B221" s="262"/>
      <c r="Q221" s="261"/>
      <c r="R221" s="261"/>
      <c r="AV221" s="260"/>
    </row>
    <row r="222" spans="1:48" ht="15.75" customHeight="1" x14ac:dyDescent="0.95">
      <c r="A222" s="262"/>
      <c r="B222" s="262"/>
      <c r="Q222" s="261"/>
      <c r="R222" s="261"/>
      <c r="AV222" s="260"/>
    </row>
    <row r="223" spans="1:48" ht="15.75" customHeight="1" x14ac:dyDescent="0.95">
      <c r="A223" s="262"/>
      <c r="B223" s="262"/>
      <c r="Q223" s="261"/>
      <c r="R223" s="261"/>
      <c r="AV223" s="260"/>
    </row>
    <row r="224" spans="1:48" ht="15.75" customHeight="1" x14ac:dyDescent="0.95">
      <c r="A224" s="262"/>
      <c r="B224" s="262"/>
      <c r="Q224" s="261"/>
      <c r="R224" s="261"/>
      <c r="AV224" s="260"/>
    </row>
    <row r="225" spans="1:48" ht="15.75" customHeight="1" x14ac:dyDescent="0.95">
      <c r="A225" s="262"/>
      <c r="B225" s="262"/>
      <c r="Q225" s="261"/>
      <c r="R225" s="261"/>
      <c r="AV225" s="260"/>
    </row>
    <row r="226" spans="1:48" ht="15.75" customHeight="1" x14ac:dyDescent="0.95">
      <c r="A226" s="262"/>
      <c r="B226" s="262"/>
      <c r="Q226" s="261"/>
      <c r="R226" s="261"/>
      <c r="AV226" s="260"/>
    </row>
    <row r="227" spans="1:48" ht="15.75" customHeight="1" x14ac:dyDescent="0.95">
      <c r="A227" s="262"/>
      <c r="B227" s="262"/>
      <c r="Q227" s="261"/>
      <c r="R227" s="261"/>
      <c r="AV227" s="260"/>
    </row>
    <row r="228" spans="1:48" ht="15.75" customHeight="1" x14ac:dyDescent="0.95">
      <c r="A228" s="262"/>
      <c r="B228" s="262"/>
      <c r="Q228" s="261"/>
      <c r="R228" s="261"/>
      <c r="AV228" s="260"/>
    </row>
    <row r="229" spans="1:48" ht="15.75" customHeight="1" x14ac:dyDescent="0.95">
      <c r="A229" s="262"/>
      <c r="B229" s="262"/>
      <c r="Q229" s="261"/>
      <c r="R229" s="261"/>
      <c r="AV229" s="260"/>
    </row>
    <row r="230" spans="1:48" ht="15.75" customHeight="1" x14ac:dyDescent="0.95">
      <c r="A230" s="262"/>
      <c r="B230" s="262"/>
      <c r="Q230" s="261"/>
      <c r="R230" s="261"/>
      <c r="AV230" s="260"/>
    </row>
    <row r="231" spans="1:48" ht="15.75" customHeight="1" x14ac:dyDescent="0.95">
      <c r="A231" s="262"/>
      <c r="B231" s="262"/>
      <c r="Q231" s="261"/>
      <c r="R231" s="261"/>
      <c r="AV231" s="260"/>
    </row>
    <row r="232" spans="1:48" ht="15.75" customHeight="1" x14ac:dyDescent="0.95">
      <c r="A232" s="262"/>
      <c r="B232" s="262"/>
      <c r="Q232" s="261"/>
      <c r="R232" s="261"/>
      <c r="AV232" s="260"/>
    </row>
    <row r="233" spans="1:48" ht="15.75" customHeight="1" x14ac:dyDescent="0.95">
      <c r="A233" s="262"/>
      <c r="B233" s="262"/>
      <c r="Q233" s="261"/>
      <c r="R233" s="261"/>
      <c r="AV233" s="260"/>
    </row>
    <row r="234" spans="1:48" ht="15.75" customHeight="1" x14ac:dyDescent="0.95">
      <c r="A234" s="262"/>
      <c r="B234" s="262"/>
      <c r="Q234" s="261"/>
      <c r="R234" s="261"/>
      <c r="AV234" s="260"/>
    </row>
    <row r="235" spans="1:48" ht="15.75" customHeight="1" x14ac:dyDescent="0.95">
      <c r="A235" s="262"/>
      <c r="B235" s="262"/>
      <c r="Q235" s="261"/>
      <c r="R235" s="261"/>
      <c r="AV235" s="260"/>
    </row>
    <row r="236" spans="1:48" ht="15.75" customHeight="1" x14ac:dyDescent="0.95">
      <c r="A236" s="262"/>
      <c r="B236" s="262"/>
      <c r="Q236" s="261"/>
      <c r="R236" s="261"/>
      <c r="AV236" s="260"/>
    </row>
    <row r="237" spans="1:48" ht="15.75" customHeight="1" x14ac:dyDescent="0.95">
      <c r="A237" s="262"/>
      <c r="B237" s="262"/>
      <c r="Q237" s="261"/>
      <c r="R237" s="261"/>
      <c r="AV237" s="260"/>
    </row>
    <row r="238" spans="1:48" ht="15.75" customHeight="1" x14ac:dyDescent="0.95">
      <c r="A238" s="262"/>
      <c r="B238" s="262"/>
      <c r="Q238" s="261"/>
      <c r="R238" s="261"/>
      <c r="AV238" s="260"/>
    </row>
    <row r="239" spans="1:48" ht="15.75" customHeight="1" x14ac:dyDescent="0.95">
      <c r="A239" s="262"/>
      <c r="B239" s="262"/>
      <c r="Q239" s="261"/>
      <c r="R239" s="261"/>
      <c r="AV239" s="260"/>
    </row>
    <row r="240" spans="1:48" ht="15.75" customHeight="1" x14ac:dyDescent="0.95">
      <c r="A240" s="262"/>
      <c r="B240" s="262"/>
      <c r="Q240" s="261"/>
      <c r="R240" s="261"/>
      <c r="AV240" s="260"/>
    </row>
    <row r="241" spans="1:48" ht="15.75" customHeight="1" x14ac:dyDescent="0.95">
      <c r="A241" s="262"/>
      <c r="B241" s="262"/>
      <c r="Q241" s="261"/>
      <c r="R241" s="261"/>
      <c r="AV241" s="260"/>
    </row>
    <row r="242" spans="1:48" ht="15.75" customHeight="1" x14ac:dyDescent="0.95">
      <c r="A242" s="262"/>
      <c r="B242" s="262"/>
      <c r="Q242" s="261"/>
      <c r="R242" s="261"/>
      <c r="AV242" s="260"/>
    </row>
    <row r="243" spans="1:48" ht="15.75" customHeight="1" x14ac:dyDescent="0.95">
      <c r="A243" s="262"/>
      <c r="B243" s="262"/>
      <c r="Q243" s="261"/>
      <c r="R243" s="261"/>
      <c r="AV243" s="260"/>
    </row>
    <row r="244" spans="1:48" ht="15.75" customHeight="1" x14ac:dyDescent="0.95">
      <c r="A244" s="262"/>
      <c r="B244" s="262"/>
      <c r="Q244" s="261"/>
      <c r="R244" s="261"/>
      <c r="AV244" s="260"/>
    </row>
    <row r="245" spans="1:48" ht="15.75" customHeight="1" x14ac:dyDescent="0.95">
      <c r="A245" s="262"/>
      <c r="B245" s="262"/>
      <c r="Q245" s="261"/>
      <c r="R245" s="261"/>
      <c r="AV245" s="260"/>
    </row>
    <row r="246" spans="1:48" ht="15.75" customHeight="1" x14ac:dyDescent="0.95">
      <c r="A246" s="262"/>
      <c r="B246" s="262"/>
      <c r="Q246" s="261"/>
      <c r="R246" s="261"/>
      <c r="AV246" s="260"/>
    </row>
    <row r="247" spans="1:48" ht="15.75" customHeight="1" x14ac:dyDescent="0.95">
      <c r="A247" s="262"/>
      <c r="B247" s="262"/>
      <c r="Q247" s="261"/>
      <c r="R247" s="261"/>
      <c r="AV247" s="260"/>
    </row>
    <row r="248" spans="1:48" ht="15.75" customHeight="1" x14ac:dyDescent="0.95">
      <c r="A248" s="262"/>
      <c r="B248" s="262"/>
      <c r="Q248" s="261"/>
      <c r="R248" s="261"/>
      <c r="AV248" s="260"/>
    </row>
    <row r="249" spans="1:48" ht="15.75" customHeight="1" x14ac:dyDescent="0.95">
      <c r="A249" s="262"/>
      <c r="B249" s="262"/>
      <c r="Q249" s="261"/>
      <c r="R249" s="261"/>
      <c r="AV249" s="260"/>
    </row>
    <row r="250" spans="1:48" ht="15.75" customHeight="1" x14ac:dyDescent="0.95">
      <c r="A250" s="262"/>
      <c r="B250" s="262"/>
      <c r="Q250" s="261"/>
      <c r="R250" s="261"/>
      <c r="AV250" s="260"/>
    </row>
    <row r="251" spans="1:48" ht="15.75" customHeight="1" x14ac:dyDescent="0.95">
      <c r="A251" s="262"/>
      <c r="B251" s="262"/>
      <c r="Q251" s="261"/>
      <c r="R251" s="261"/>
      <c r="AV251" s="260"/>
    </row>
    <row r="252" spans="1:48" ht="15.75" customHeight="1" x14ac:dyDescent="0.95">
      <c r="A252" s="262"/>
      <c r="B252" s="262"/>
      <c r="Q252" s="261"/>
      <c r="R252" s="261"/>
      <c r="AV252" s="260"/>
    </row>
    <row r="253" spans="1:48" ht="15.75" customHeight="1" x14ac:dyDescent="0.95">
      <c r="A253" s="262"/>
      <c r="B253" s="262"/>
      <c r="Q253" s="261"/>
      <c r="R253" s="261"/>
      <c r="AV253" s="260"/>
    </row>
    <row r="254" spans="1:48" ht="15.75" customHeight="1" x14ac:dyDescent="0.95">
      <c r="A254" s="262"/>
      <c r="B254" s="262"/>
      <c r="Q254" s="261"/>
      <c r="R254" s="261"/>
      <c r="AV254" s="260"/>
    </row>
    <row r="255" spans="1:48" ht="15.75" customHeight="1" x14ac:dyDescent="0.95">
      <c r="A255" s="262"/>
      <c r="B255" s="262"/>
      <c r="Q255" s="261"/>
      <c r="R255" s="261"/>
      <c r="AV255" s="260"/>
    </row>
    <row r="256" spans="1:48" ht="15.75" customHeight="1" x14ac:dyDescent="0.95">
      <c r="A256" s="262"/>
      <c r="B256" s="262"/>
      <c r="Q256" s="261"/>
      <c r="R256" s="261"/>
      <c r="AV256" s="260"/>
    </row>
    <row r="257" spans="1:48" ht="15.75" customHeight="1" x14ac:dyDescent="0.95">
      <c r="A257" s="262"/>
      <c r="B257" s="262"/>
      <c r="Q257" s="261"/>
      <c r="R257" s="261"/>
      <c r="AV257" s="260"/>
    </row>
    <row r="258" spans="1:48" ht="15.75" customHeight="1" x14ac:dyDescent="0.95">
      <c r="A258" s="262"/>
      <c r="B258" s="262"/>
      <c r="Q258" s="261"/>
      <c r="R258" s="261"/>
      <c r="AV258" s="260"/>
    </row>
    <row r="259" spans="1:48" ht="15.75" customHeight="1" x14ac:dyDescent="0.95">
      <c r="A259" s="262"/>
      <c r="B259" s="262"/>
      <c r="Q259" s="261"/>
      <c r="R259" s="261"/>
      <c r="AV259" s="260"/>
    </row>
    <row r="260" spans="1:48" ht="15.75" customHeight="1" x14ac:dyDescent="0.95">
      <c r="A260" s="262"/>
      <c r="B260" s="262"/>
      <c r="Q260" s="261"/>
      <c r="R260" s="261"/>
      <c r="AV260" s="260"/>
    </row>
    <row r="261" spans="1:48" ht="15.75" customHeight="1" x14ac:dyDescent="0.95">
      <c r="A261" s="262"/>
      <c r="B261" s="262"/>
      <c r="Q261" s="261"/>
      <c r="R261" s="261"/>
      <c r="AV261" s="260"/>
    </row>
    <row r="262" spans="1:48" ht="15.75" customHeight="1" x14ac:dyDescent="0.95">
      <c r="A262" s="262"/>
      <c r="B262" s="262"/>
      <c r="Q262" s="261"/>
      <c r="R262" s="261"/>
      <c r="AV262" s="260"/>
    </row>
    <row r="263" spans="1:48" ht="15.75" customHeight="1" x14ac:dyDescent="0.95">
      <c r="A263" s="262"/>
      <c r="B263" s="262"/>
      <c r="Q263" s="261"/>
      <c r="R263" s="261"/>
      <c r="AV263" s="260"/>
    </row>
    <row r="264" spans="1:48" ht="15.75" customHeight="1" x14ac:dyDescent="0.95">
      <c r="A264" s="262"/>
      <c r="B264" s="262"/>
      <c r="Q264" s="261"/>
      <c r="R264" s="261"/>
      <c r="AV264" s="260"/>
    </row>
    <row r="265" spans="1:48" ht="15.75" customHeight="1" x14ac:dyDescent="0.95">
      <c r="A265" s="262"/>
      <c r="B265" s="262"/>
      <c r="Q265" s="261"/>
      <c r="R265" s="261"/>
      <c r="AV265" s="260"/>
    </row>
    <row r="266" spans="1:48" ht="15.75" customHeight="1" x14ac:dyDescent="0.95">
      <c r="A266" s="262"/>
      <c r="B266" s="262"/>
      <c r="Q266" s="261"/>
      <c r="R266" s="261"/>
      <c r="AV266" s="260"/>
    </row>
    <row r="267" spans="1:48" ht="15.75" customHeight="1" x14ac:dyDescent="0.95">
      <c r="A267" s="262"/>
      <c r="B267" s="262"/>
      <c r="Q267" s="261"/>
      <c r="R267" s="261"/>
      <c r="AV267" s="260"/>
    </row>
    <row r="268" spans="1:48" ht="15.75" customHeight="1" x14ac:dyDescent="0.95">
      <c r="A268" s="262"/>
      <c r="B268" s="262"/>
      <c r="Q268" s="261"/>
      <c r="R268" s="261"/>
      <c r="AV268" s="260"/>
    </row>
    <row r="269" spans="1:48" ht="15.75" customHeight="1" x14ac:dyDescent="0.95">
      <c r="A269" s="262"/>
      <c r="B269" s="262"/>
      <c r="Q269" s="261"/>
      <c r="R269" s="261"/>
      <c r="AV269" s="260"/>
    </row>
    <row r="270" spans="1:48" ht="15.75" customHeight="1" x14ac:dyDescent="0.95">
      <c r="A270" s="262"/>
      <c r="B270" s="262"/>
      <c r="Q270" s="261"/>
      <c r="R270" s="261"/>
      <c r="AV270" s="260"/>
    </row>
    <row r="271" spans="1:48" ht="15.75" customHeight="1" x14ac:dyDescent="0.95">
      <c r="A271" s="262"/>
      <c r="B271" s="262"/>
      <c r="Q271" s="261"/>
      <c r="R271" s="261"/>
      <c r="AV271" s="260"/>
    </row>
    <row r="272" spans="1:48" ht="15.75" customHeight="1" x14ac:dyDescent="0.95">
      <c r="A272" s="262"/>
      <c r="B272" s="262"/>
      <c r="Q272" s="261"/>
      <c r="R272" s="261"/>
      <c r="AV272" s="260"/>
    </row>
    <row r="273" spans="1:48" ht="15.75" customHeight="1" x14ac:dyDescent="0.95">
      <c r="A273" s="262"/>
      <c r="B273" s="262"/>
      <c r="Q273" s="261"/>
      <c r="R273" s="261"/>
      <c r="AV273" s="260"/>
    </row>
    <row r="274" spans="1:48" ht="15.75" customHeight="1" x14ac:dyDescent="0.95">
      <c r="A274" s="262"/>
      <c r="B274" s="262"/>
      <c r="Q274" s="261"/>
      <c r="R274" s="261"/>
      <c r="AV274" s="260"/>
    </row>
    <row r="275" spans="1:48" ht="15.75" customHeight="1" x14ac:dyDescent="0.95">
      <c r="A275" s="262"/>
      <c r="B275" s="262"/>
      <c r="Q275" s="261"/>
      <c r="R275" s="261"/>
      <c r="AV275" s="260"/>
    </row>
    <row r="276" spans="1:48" ht="15.75" customHeight="1" x14ac:dyDescent="0.95">
      <c r="A276" s="262"/>
      <c r="B276" s="262"/>
      <c r="Q276" s="261"/>
      <c r="R276" s="261"/>
      <c r="AV276" s="260"/>
    </row>
    <row r="277" spans="1:48" ht="15.75" customHeight="1" x14ac:dyDescent="0.95">
      <c r="A277" s="262"/>
      <c r="B277" s="262"/>
      <c r="Q277" s="261"/>
      <c r="R277" s="261"/>
      <c r="AV277" s="260"/>
    </row>
    <row r="278" spans="1:48" ht="15.75" customHeight="1" x14ac:dyDescent="0.95">
      <c r="A278" s="262"/>
      <c r="B278" s="262"/>
      <c r="Q278" s="261"/>
      <c r="R278" s="261"/>
      <c r="AV278" s="260"/>
    </row>
    <row r="279" spans="1:48" ht="15.75" customHeight="1" x14ac:dyDescent="0.95">
      <c r="A279" s="262"/>
      <c r="B279" s="262"/>
      <c r="Q279" s="261"/>
      <c r="R279" s="261"/>
      <c r="AV279" s="260"/>
    </row>
    <row r="280" spans="1:48" ht="15.75" customHeight="1" x14ac:dyDescent="0.95">
      <c r="A280" s="262"/>
      <c r="B280" s="262"/>
      <c r="Q280" s="261"/>
      <c r="R280" s="261"/>
      <c r="AV280" s="260"/>
    </row>
    <row r="281" spans="1:48" ht="15.75" customHeight="1" x14ac:dyDescent="0.95">
      <c r="A281" s="262"/>
      <c r="B281" s="262"/>
      <c r="Q281" s="261"/>
      <c r="R281" s="261"/>
      <c r="AV281" s="260"/>
    </row>
    <row r="282" spans="1:48" ht="15.75" customHeight="1" x14ac:dyDescent="0.95">
      <c r="A282" s="262"/>
      <c r="B282" s="262"/>
      <c r="Q282" s="261"/>
      <c r="R282" s="261"/>
      <c r="AV282" s="260"/>
    </row>
    <row r="283" spans="1:48" ht="15.75" customHeight="1" x14ac:dyDescent="0.95">
      <c r="A283" s="262"/>
      <c r="B283" s="262"/>
      <c r="Q283" s="261"/>
      <c r="R283" s="261"/>
      <c r="AV283" s="260"/>
    </row>
    <row r="284" spans="1:48" ht="15.75" customHeight="1" x14ac:dyDescent="0.95">
      <c r="A284" s="262"/>
      <c r="B284" s="262"/>
      <c r="Q284" s="261"/>
      <c r="R284" s="261"/>
      <c r="AV284" s="260"/>
    </row>
    <row r="285" spans="1:48" ht="15.75" customHeight="1" x14ac:dyDescent="0.95">
      <c r="A285" s="262"/>
      <c r="B285" s="262"/>
      <c r="Q285" s="261"/>
      <c r="R285" s="261"/>
      <c r="AV285" s="260"/>
    </row>
    <row r="286" spans="1:48" ht="15.75" customHeight="1" x14ac:dyDescent="0.95">
      <c r="A286" s="262"/>
      <c r="B286" s="262"/>
      <c r="Q286" s="261"/>
      <c r="R286" s="261"/>
      <c r="AV286" s="260"/>
    </row>
    <row r="287" spans="1:48" ht="15.75" customHeight="1" x14ac:dyDescent="0.95">
      <c r="A287" s="262"/>
      <c r="B287" s="262"/>
      <c r="Q287" s="261"/>
      <c r="R287" s="261"/>
      <c r="AV287" s="260"/>
    </row>
    <row r="288" spans="1:48" ht="15.75" customHeight="1" x14ac:dyDescent="0.95">
      <c r="A288" s="262"/>
      <c r="B288" s="262"/>
      <c r="Q288" s="261"/>
      <c r="R288" s="261"/>
      <c r="AV288" s="260"/>
    </row>
    <row r="289" spans="1:48" ht="15.75" customHeight="1" x14ac:dyDescent="0.95">
      <c r="A289" s="262"/>
      <c r="B289" s="262"/>
      <c r="Q289" s="261"/>
      <c r="R289" s="261"/>
      <c r="AV289" s="260"/>
    </row>
    <row r="290" spans="1:48" ht="15.75" customHeight="1" x14ac:dyDescent="0.95">
      <c r="A290" s="262"/>
      <c r="B290" s="262"/>
      <c r="Q290" s="261"/>
      <c r="R290" s="261"/>
      <c r="AV290" s="260"/>
    </row>
    <row r="291" spans="1:48" ht="15.75" customHeight="1" x14ac:dyDescent="0.95">
      <c r="A291" s="262"/>
      <c r="B291" s="262"/>
      <c r="Q291" s="261"/>
      <c r="R291" s="261"/>
      <c r="AV291" s="260"/>
    </row>
    <row r="292" spans="1:48" ht="15.75" customHeight="1" x14ac:dyDescent="0.95">
      <c r="A292" s="262"/>
      <c r="B292" s="262"/>
      <c r="Q292" s="261"/>
      <c r="R292" s="261"/>
      <c r="AV292" s="260"/>
    </row>
    <row r="293" spans="1:48" ht="15.75" customHeight="1" x14ac:dyDescent="0.95">
      <c r="A293" s="262"/>
      <c r="B293" s="262"/>
      <c r="Q293" s="261"/>
      <c r="R293" s="261"/>
      <c r="AV293" s="260"/>
    </row>
    <row r="294" spans="1:48" ht="15.75" customHeight="1" x14ac:dyDescent="0.95">
      <c r="A294" s="262"/>
      <c r="B294" s="262"/>
      <c r="Q294" s="261"/>
      <c r="R294" s="261"/>
      <c r="AV294" s="260"/>
    </row>
    <row r="295" spans="1:48" ht="15.75" customHeight="1" x14ac:dyDescent="0.95">
      <c r="A295" s="262"/>
      <c r="B295" s="262"/>
      <c r="Q295" s="261"/>
      <c r="R295" s="261"/>
      <c r="AV295" s="260"/>
    </row>
    <row r="296" spans="1:48" ht="15.75" customHeight="1" x14ac:dyDescent="0.95">
      <c r="A296" s="262"/>
      <c r="B296" s="262"/>
      <c r="Q296" s="261"/>
      <c r="R296" s="261"/>
      <c r="AV296" s="260"/>
    </row>
    <row r="297" spans="1:48" ht="15.75" customHeight="1" x14ac:dyDescent="0.95">
      <c r="A297" s="262"/>
      <c r="B297" s="262"/>
      <c r="Q297" s="261"/>
      <c r="R297" s="261"/>
      <c r="AV297" s="260"/>
    </row>
    <row r="298" spans="1:48" ht="15.75" customHeight="1" x14ac:dyDescent="0.95">
      <c r="A298" s="262"/>
      <c r="B298" s="262"/>
      <c r="Q298" s="261"/>
      <c r="R298" s="261"/>
      <c r="AV298" s="260"/>
    </row>
    <row r="299" spans="1:48" ht="15.75" customHeight="1" x14ac:dyDescent="0.95">
      <c r="A299" s="262"/>
      <c r="B299" s="262"/>
      <c r="Q299" s="261"/>
      <c r="R299" s="261"/>
      <c r="AV299" s="260"/>
    </row>
    <row r="300" spans="1:48" ht="15.75" customHeight="1" x14ac:dyDescent="0.95">
      <c r="A300" s="262"/>
      <c r="B300" s="262"/>
      <c r="Q300" s="261"/>
      <c r="R300" s="261"/>
      <c r="AV300" s="260"/>
    </row>
    <row r="301" spans="1:48" ht="15.75" customHeight="1" x14ac:dyDescent="0.95">
      <c r="A301" s="262"/>
      <c r="B301" s="262"/>
      <c r="Q301" s="261"/>
      <c r="R301" s="261"/>
      <c r="AV301" s="260"/>
    </row>
    <row r="302" spans="1:48" ht="15.75" customHeight="1" x14ac:dyDescent="0.95">
      <c r="A302" s="262"/>
      <c r="B302" s="262"/>
      <c r="Q302" s="261"/>
      <c r="R302" s="261"/>
      <c r="AV302" s="260"/>
    </row>
    <row r="303" spans="1:48" ht="15.75" customHeight="1" x14ac:dyDescent="0.95">
      <c r="A303" s="262"/>
      <c r="B303" s="262"/>
      <c r="Q303" s="261"/>
      <c r="R303" s="261"/>
      <c r="AV303" s="260"/>
    </row>
    <row r="304" spans="1:48" ht="15.75" customHeight="1" x14ac:dyDescent="0.95">
      <c r="A304" s="262"/>
      <c r="B304" s="262"/>
      <c r="Q304" s="261"/>
      <c r="R304" s="261"/>
      <c r="AV304" s="260"/>
    </row>
    <row r="305" spans="1:48" ht="15.75" customHeight="1" x14ac:dyDescent="0.95">
      <c r="A305" s="262"/>
      <c r="B305" s="262"/>
      <c r="Q305" s="261"/>
      <c r="R305" s="261"/>
      <c r="AV305" s="260"/>
    </row>
    <row r="306" spans="1:48" ht="15.75" customHeight="1" x14ac:dyDescent="0.95">
      <c r="A306" s="262"/>
      <c r="B306" s="262"/>
      <c r="Q306" s="261"/>
      <c r="R306" s="261"/>
      <c r="AV306" s="260"/>
    </row>
    <row r="307" spans="1:48" ht="15.75" customHeight="1" x14ac:dyDescent="0.95">
      <c r="A307" s="262"/>
      <c r="B307" s="262"/>
      <c r="Q307" s="261"/>
      <c r="R307" s="261"/>
      <c r="AV307" s="260"/>
    </row>
    <row r="308" spans="1:48" ht="15.75" customHeight="1" x14ac:dyDescent="0.95">
      <c r="A308" s="262"/>
      <c r="B308" s="262"/>
      <c r="Q308" s="261"/>
      <c r="R308" s="261"/>
      <c r="AV308" s="260"/>
    </row>
    <row r="309" spans="1:48" ht="15.75" customHeight="1" x14ac:dyDescent="0.95">
      <c r="A309" s="262"/>
      <c r="B309" s="262"/>
      <c r="Q309" s="261"/>
      <c r="R309" s="261"/>
      <c r="AV309" s="260"/>
    </row>
    <row r="310" spans="1:48" ht="15.75" customHeight="1" x14ac:dyDescent="0.95">
      <c r="A310" s="262"/>
      <c r="B310" s="262"/>
      <c r="Q310" s="261"/>
      <c r="R310" s="261"/>
      <c r="AV310" s="260"/>
    </row>
    <row r="311" spans="1:48" ht="15.75" customHeight="1" x14ac:dyDescent="0.95">
      <c r="A311" s="262"/>
      <c r="B311" s="262"/>
      <c r="Q311" s="261"/>
      <c r="R311" s="261"/>
      <c r="AV311" s="260"/>
    </row>
    <row r="312" spans="1:48" ht="15.75" customHeight="1" x14ac:dyDescent="0.95">
      <c r="A312" s="262"/>
      <c r="B312" s="262"/>
      <c r="Q312" s="261"/>
      <c r="R312" s="261"/>
      <c r="AV312" s="260"/>
    </row>
    <row r="313" spans="1:48" ht="15.75" customHeight="1" x14ac:dyDescent="0.95">
      <c r="A313" s="262"/>
      <c r="B313" s="262"/>
      <c r="Q313" s="261"/>
      <c r="R313" s="261"/>
      <c r="AV313" s="260"/>
    </row>
    <row r="314" spans="1:48" ht="15.75" customHeight="1" x14ac:dyDescent="0.95">
      <c r="A314" s="262"/>
      <c r="B314" s="262"/>
      <c r="Q314" s="261"/>
      <c r="R314" s="261"/>
      <c r="AV314" s="260"/>
    </row>
    <row r="315" spans="1:48" ht="15.75" customHeight="1" x14ac:dyDescent="0.95">
      <c r="A315" s="262"/>
      <c r="B315" s="262"/>
      <c r="Q315" s="261"/>
      <c r="R315" s="261"/>
      <c r="AV315" s="260"/>
    </row>
    <row r="316" spans="1:48" ht="15.75" customHeight="1" x14ac:dyDescent="0.95">
      <c r="A316" s="262"/>
      <c r="B316" s="262"/>
      <c r="Q316" s="261"/>
      <c r="R316" s="261"/>
      <c r="AV316" s="260"/>
    </row>
    <row r="317" spans="1:48" ht="15.75" customHeight="1" x14ac:dyDescent="0.95">
      <c r="A317" s="262"/>
      <c r="B317" s="262"/>
      <c r="Q317" s="261"/>
      <c r="R317" s="261"/>
      <c r="AV317" s="260"/>
    </row>
    <row r="318" spans="1:48" ht="15.75" customHeight="1" x14ac:dyDescent="0.95">
      <c r="A318" s="262"/>
      <c r="B318" s="262"/>
      <c r="Q318" s="261"/>
      <c r="R318" s="261"/>
      <c r="AV318" s="260"/>
    </row>
    <row r="319" spans="1:48" ht="15.75" customHeight="1" x14ac:dyDescent="0.95">
      <c r="A319" s="262"/>
      <c r="B319" s="262"/>
      <c r="Q319" s="261"/>
      <c r="R319" s="261"/>
      <c r="AV319" s="260"/>
    </row>
    <row r="320" spans="1:48" ht="15.75" customHeight="1" x14ac:dyDescent="0.95">
      <c r="A320" s="262"/>
      <c r="B320" s="262"/>
      <c r="Q320" s="261"/>
      <c r="R320" s="261"/>
      <c r="AV320" s="260"/>
    </row>
    <row r="321" spans="1:48" ht="15.75" customHeight="1" x14ac:dyDescent="0.95">
      <c r="A321" s="262"/>
      <c r="B321" s="262"/>
      <c r="Q321" s="261"/>
      <c r="R321" s="261"/>
      <c r="AV321" s="260"/>
    </row>
    <row r="322" spans="1:48" ht="15.75" customHeight="1" x14ac:dyDescent="0.95">
      <c r="A322" s="262"/>
      <c r="B322" s="262"/>
      <c r="Q322" s="261"/>
      <c r="R322" s="261"/>
      <c r="AV322" s="260"/>
    </row>
    <row r="323" spans="1:48" ht="15.75" customHeight="1" x14ac:dyDescent="0.95">
      <c r="A323" s="262"/>
      <c r="B323" s="262"/>
      <c r="Q323" s="261"/>
      <c r="R323" s="261"/>
      <c r="AV323" s="260"/>
    </row>
    <row r="324" spans="1:48" ht="15.75" customHeight="1" x14ac:dyDescent="0.95">
      <c r="A324" s="262"/>
      <c r="B324" s="262"/>
      <c r="Q324" s="261"/>
      <c r="R324" s="261"/>
      <c r="AV324" s="260"/>
    </row>
    <row r="325" spans="1:48" ht="15.75" customHeight="1" x14ac:dyDescent="0.95">
      <c r="A325" s="262"/>
      <c r="B325" s="262"/>
      <c r="Q325" s="261"/>
      <c r="R325" s="261"/>
      <c r="AV325" s="260"/>
    </row>
    <row r="326" spans="1:48" ht="15.75" customHeight="1" x14ac:dyDescent="0.95">
      <c r="A326" s="262"/>
      <c r="B326" s="262"/>
      <c r="Q326" s="261"/>
      <c r="R326" s="261"/>
      <c r="AV326" s="260"/>
    </row>
    <row r="327" spans="1:48" ht="15.75" customHeight="1" x14ac:dyDescent="0.95">
      <c r="A327" s="262"/>
      <c r="B327" s="262"/>
      <c r="Q327" s="261"/>
      <c r="R327" s="261"/>
      <c r="AV327" s="260"/>
    </row>
    <row r="328" spans="1:48" ht="15.75" customHeight="1" x14ac:dyDescent="0.95">
      <c r="A328" s="262"/>
      <c r="B328" s="262"/>
      <c r="Q328" s="261"/>
      <c r="R328" s="261"/>
      <c r="AV328" s="260"/>
    </row>
    <row r="329" spans="1:48" ht="15.75" customHeight="1" x14ac:dyDescent="0.95">
      <c r="A329" s="262"/>
      <c r="B329" s="262"/>
      <c r="Q329" s="261"/>
      <c r="R329" s="261"/>
      <c r="AV329" s="260"/>
    </row>
    <row r="330" spans="1:48" ht="15.75" customHeight="1" x14ac:dyDescent="0.95">
      <c r="A330" s="262"/>
      <c r="B330" s="262"/>
      <c r="Q330" s="261"/>
      <c r="R330" s="261"/>
      <c r="AV330" s="260"/>
    </row>
    <row r="331" spans="1:48" ht="15.75" customHeight="1" x14ac:dyDescent="0.95">
      <c r="A331" s="262"/>
      <c r="B331" s="262"/>
      <c r="Q331" s="261"/>
      <c r="R331" s="261"/>
      <c r="AV331" s="260"/>
    </row>
    <row r="332" spans="1:48" ht="15.75" customHeight="1" x14ac:dyDescent="0.95">
      <c r="A332" s="262"/>
      <c r="B332" s="262"/>
      <c r="Q332" s="261"/>
      <c r="R332" s="261"/>
      <c r="AV332" s="260"/>
    </row>
    <row r="333" spans="1:48" ht="15.75" customHeight="1" x14ac:dyDescent="0.95">
      <c r="A333" s="262"/>
      <c r="B333" s="262"/>
      <c r="Q333" s="261"/>
      <c r="R333" s="261"/>
      <c r="AV333" s="260"/>
    </row>
    <row r="334" spans="1:48" ht="15.75" customHeight="1" x14ac:dyDescent="0.95">
      <c r="A334" s="262"/>
      <c r="B334" s="262"/>
      <c r="Q334" s="261"/>
      <c r="R334" s="261"/>
      <c r="AV334" s="260"/>
    </row>
    <row r="335" spans="1:48" ht="15.75" customHeight="1" x14ac:dyDescent="0.95">
      <c r="A335" s="262"/>
      <c r="B335" s="262"/>
      <c r="Q335" s="261"/>
      <c r="R335" s="261"/>
      <c r="AV335" s="260"/>
    </row>
    <row r="336" spans="1:48" ht="15.75" customHeight="1" x14ac:dyDescent="0.95">
      <c r="A336" s="262"/>
      <c r="B336" s="262"/>
      <c r="Q336" s="261"/>
      <c r="R336" s="261"/>
      <c r="AV336" s="260"/>
    </row>
    <row r="337" spans="1:48" ht="15.75" customHeight="1" x14ac:dyDescent="0.95">
      <c r="A337" s="262"/>
      <c r="B337" s="262"/>
      <c r="Q337" s="261"/>
      <c r="R337" s="261"/>
      <c r="AV337" s="260"/>
    </row>
    <row r="338" spans="1:48" ht="15.75" customHeight="1" x14ac:dyDescent="0.95">
      <c r="A338" s="262"/>
      <c r="B338" s="262"/>
      <c r="Q338" s="261"/>
      <c r="R338" s="261"/>
      <c r="AV338" s="260"/>
    </row>
    <row r="339" spans="1:48" ht="15.75" customHeight="1" x14ac:dyDescent="0.95">
      <c r="A339" s="262"/>
      <c r="B339" s="262"/>
      <c r="Q339" s="261"/>
      <c r="R339" s="261"/>
      <c r="AV339" s="260"/>
    </row>
    <row r="340" spans="1:48" ht="15.75" customHeight="1" x14ac:dyDescent="0.95">
      <c r="A340" s="262"/>
      <c r="B340" s="262"/>
      <c r="Q340" s="261"/>
      <c r="R340" s="261"/>
      <c r="AV340" s="260"/>
    </row>
    <row r="341" spans="1:48" ht="15.75" customHeight="1" x14ac:dyDescent="0.95">
      <c r="A341" s="262"/>
      <c r="B341" s="262"/>
      <c r="Q341" s="261"/>
      <c r="R341" s="261"/>
      <c r="AV341" s="260"/>
    </row>
    <row r="342" spans="1:48" ht="15.75" customHeight="1" x14ac:dyDescent="0.95">
      <c r="A342" s="262"/>
      <c r="B342" s="262"/>
      <c r="Q342" s="261"/>
      <c r="R342" s="261"/>
      <c r="AV342" s="260"/>
    </row>
    <row r="343" spans="1:48" ht="15.75" customHeight="1" x14ac:dyDescent="0.95">
      <c r="A343" s="262"/>
      <c r="B343" s="262"/>
      <c r="Q343" s="261"/>
      <c r="R343" s="261"/>
      <c r="AV343" s="260"/>
    </row>
    <row r="344" spans="1:48" ht="15.75" customHeight="1" x14ac:dyDescent="0.95">
      <c r="A344" s="262"/>
      <c r="B344" s="262"/>
      <c r="Q344" s="261"/>
      <c r="R344" s="261"/>
      <c r="AV344" s="260"/>
    </row>
    <row r="345" spans="1:48" ht="15.75" customHeight="1" x14ac:dyDescent="0.95">
      <c r="A345" s="262"/>
      <c r="B345" s="262"/>
      <c r="Q345" s="261"/>
      <c r="R345" s="261"/>
      <c r="AV345" s="260"/>
    </row>
    <row r="346" spans="1:48" ht="15.75" customHeight="1" x14ac:dyDescent="0.95">
      <c r="A346" s="262"/>
      <c r="B346" s="262"/>
      <c r="Q346" s="261"/>
      <c r="R346" s="261"/>
      <c r="AV346" s="260"/>
    </row>
    <row r="347" spans="1:48" ht="15.75" customHeight="1" x14ac:dyDescent="0.95">
      <c r="A347" s="262"/>
      <c r="B347" s="262"/>
      <c r="Q347" s="261"/>
      <c r="R347" s="261"/>
      <c r="AV347" s="260"/>
    </row>
    <row r="348" spans="1:48" ht="15.75" customHeight="1" x14ac:dyDescent="0.95">
      <c r="A348" s="262"/>
      <c r="B348" s="262"/>
      <c r="Q348" s="261"/>
      <c r="R348" s="261"/>
      <c r="AV348" s="260"/>
    </row>
    <row r="349" spans="1:48" ht="15.75" customHeight="1" x14ac:dyDescent="0.95">
      <c r="A349" s="262"/>
      <c r="B349" s="262"/>
      <c r="Q349" s="261"/>
      <c r="R349" s="261"/>
      <c r="AV349" s="260"/>
    </row>
    <row r="350" spans="1:48" ht="15.75" customHeight="1" x14ac:dyDescent="0.95">
      <c r="A350" s="262"/>
      <c r="B350" s="262"/>
      <c r="Q350" s="261"/>
      <c r="R350" s="261"/>
      <c r="AV350" s="260"/>
    </row>
    <row r="351" spans="1:48" ht="15.75" customHeight="1" x14ac:dyDescent="0.95">
      <c r="A351" s="262"/>
      <c r="B351" s="262"/>
      <c r="Q351" s="261"/>
      <c r="R351" s="261"/>
      <c r="AV351" s="260"/>
    </row>
    <row r="352" spans="1:48" ht="15.75" customHeight="1" x14ac:dyDescent="0.95">
      <c r="A352" s="262"/>
      <c r="B352" s="262"/>
      <c r="Q352" s="261"/>
      <c r="R352" s="261"/>
      <c r="AV352" s="260"/>
    </row>
    <row r="353" spans="1:48" ht="15.75" customHeight="1" x14ac:dyDescent="0.95">
      <c r="A353" s="262"/>
      <c r="B353" s="262"/>
      <c r="Q353" s="261"/>
      <c r="R353" s="261"/>
      <c r="AV353" s="260"/>
    </row>
    <row r="354" spans="1:48" ht="15.75" customHeight="1" x14ac:dyDescent="0.95">
      <c r="A354" s="262"/>
      <c r="B354" s="262"/>
      <c r="Q354" s="261"/>
      <c r="R354" s="261"/>
      <c r="AV354" s="260"/>
    </row>
    <row r="355" spans="1:48" ht="15.75" customHeight="1" x14ac:dyDescent="0.95">
      <c r="A355" s="262"/>
      <c r="B355" s="262"/>
      <c r="Q355" s="261"/>
      <c r="R355" s="261"/>
      <c r="AV355" s="260"/>
    </row>
    <row r="356" spans="1:48" ht="15.75" customHeight="1" x14ac:dyDescent="0.95">
      <c r="A356" s="262"/>
      <c r="B356" s="262"/>
      <c r="Q356" s="261"/>
      <c r="R356" s="261"/>
      <c r="AV356" s="260"/>
    </row>
    <row r="357" spans="1:48" ht="15.75" customHeight="1" x14ac:dyDescent="0.95">
      <c r="A357" s="262"/>
      <c r="B357" s="262"/>
      <c r="Q357" s="261"/>
      <c r="R357" s="261"/>
      <c r="AV357" s="260"/>
    </row>
    <row r="358" spans="1:48" ht="15.75" customHeight="1" x14ac:dyDescent="0.95">
      <c r="A358" s="262"/>
      <c r="B358" s="262"/>
      <c r="Q358" s="261"/>
      <c r="R358" s="261"/>
      <c r="AV358" s="260"/>
    </row>
    <row r="359" spans="1:48" ht="15.75" customHeight="1" x14ac:dyDescent="0.95">
      <c r="A359" s="262"/>
      <c r="B359" s="262"/>
      <c r="Q359" s="261"/>
      <c r="R359" s="261"/>
      <c r="AV359" s="260"/>
    </row>
    <row r="360" spans="1:48" ht="15.75" customHeight="1" x14ac:dyDescent="0.95">
      <c r="A360" s="262"/>
      <c r="B360" s="262"/>
      <c r="Q360" s="261"/>
      <c r="R360" s="261"/>
      <c r="AV360" s="260"/>
    </row>
    <row r="361" spans="1:48" ht="15.75" customHeight="1" x14ac:dyDescent="0.95">
      <c r="A361" s="262"/>
      <c r="B361" s="262"/>
      <c r="Q361" s="261"/>
      <c r="R361" s="261"/>
      <c r="AV361" s="260"/>
    </row>
    <row r="362" spans="1:48" ht="15.75" customHeight="1" x14ac:dyDescent="0.95">
      <c r="A362" s="262"/>
      <c r="B362" s="262"/>
      <c r="Q362" s="261"/>
      <c r="R362" s="261"/>
      <c r="AV362" s="260"/>
    </row>
    <row r="363" spans="1:48" ht="15.75" customHeight="1" x14ac:dyDescent="0.95">
      <c r="A363" s="262"/>
      <c r="B363" s="262"/>
      <c r="Q363" s="261"/>
      <c r="R363" s="261"/>
      <c r="AV363" s="260"/>
    </row>
    <row r="364" spans="1:48" ht="15.75" customHeight="1" x14ac:dyDescent="0.95">
      <c r="A364" s="262"/>
      <c r="B364" s="262"/>
      <c r="Q364" s="261"/>
      <c r="R364" s="261"/>
      <c r="AV364" s="260"/>
    </row>
    <row r="365" spans="1:48" ht="15.75" customHeight="1" x14ac:dyDescent="0.95">
      <c r="A365" s="262"/>
      <c r="B365" s="262"/>
      <c r="Q365" s="261"/>
      <c r="R365" s="261"/>
      <c r="AV365" s="260"/>
    </row>
    <row r="366" spans="1:48" ht="15.75" customHeight="1" x14ac:dyDescent="0.95">
      <c r="A366" s="262"/>
      <c r="B366" s="262"/>
      <c r="Q366" s="261"/>
      <c r="R366" s="261"/>
      <c r="AV366" s="260"/>
    </row>
    <row r="367" spans="1:48" ht="15.75" customHeight="1" x14ac:dyDescent="0.95">
      <c r="A367" s="262"/>
      <c r="B367" s="262"/>
      <c r="Q367" s="261"/>
      <c r="R367" s="261"/>
      <c r="AV367" s="260"/>
    </row>
    <row r="368" spans="1:48" ht="15.75" customHeight="1" x14ac:dyDescent="0.95">
      <c r="A368" s="262"/>
      <c r="B368" s="262"/>
      <c r="Q368" s="261"/>
      <c r="R368" s="261"/>
      <c r="AV368" s="260"/>
    </row>
    <row r="369" spans="1:48" ht="15.75" customHeight="1" x14ac:dyDescent="0.95">
      <c r="A369" s="262"/>
      <c r="B369" s="262"/>
      <c r="Q369" s="261"/>
      <c r="R369" s="261"/>
      <c r="AV369" s="260"/>
    </row>
    <row r="370" spans="1:48" ht="15.75" customHeight="1" x14ac:dyDescent="0.95">
      <c r="A370" s="262"/>
      <c r="B370" s="262"/>
      <c r="Q370" s="261"/>
      <c r="R370" s="261"/>
      <c r="AV370" s="260"/>
    </row>
    <row r="371" spans="1:48" ht="15.75" customHeight="1" x14ac:dyDescent="0.95">
      <c r="A371" s="262"/>
      <c r="B371" s="262"/>
      <c r="Q371" s="261"/>
      <c r="R371" s="261"/>
      <c r="AV371" s="260"/>
    </row>
    <row r="372" spans="1:48" ht="15.75" customHeight="1" x14ac:dyDescent="0.95">
      <c r="A372" s="262"/>
      <c r="B372" s="262"/>
      <c r="Q372" s="261"/>
      <c r="R372" s="261"/>
      <c r="AV372" s="260"/>
    </row>
    <row r="373" spans="1:48" ht="15.75" customHeight="1" x14ac:dyDescent="0.95">
      <c r="A373" s="262"/>
      <c r="B373" s="262"/>
      <c r="Q373" s="261"/>
      <c r="R373" s="261"/>
      <c r="AV373" s="260"/>
    </row>
    <row r="374" spans="1:48" ht="15.75" customHeight="1" x14ac:dyDescent="0.95">
      <c r="A374" s="262"/>
      <c r="B374" s="262"/>
      <c r="Q374" s="261"/>
      <c r="R374" s="261"/>
      <c r="AV374" s="260"/>
    </row>
    <row r="375" spans="1:48" ht="15.75" customHeight="1" x14ac:dyDescent="0.95">
      <c r="A375" s="262"/>
      <c r="B375" s="262"/>
      <c r="Q375" s="261"/>
      <c r="R375" s="261"/>
      <c r="AV375" s="260"/>
    </row>
    <row r="376" spans="1:48" ht="15.75" customHeight="1" x14ac:dyDescent="0.95">
      <c r="A376" s="262"/>
      <c r="B376" s="262"/>
      <c r="Q376" s="261"/>
      <c r="R376" s="261"/>
      <c r="AV376" s="260"/>
    </row>
    <row r="377" spans="1:48" ht="15.75" customHeight="1" x14ac:dyDescent="0.95">
      <c r="A377" s="262"/>
      <c r="B377" s="262"/>
      <c r="Q377" s="261"/>
      <c r="R377" s="261"/>
      <c r="AV377" s="260"/>
    </row>
    <row r="378" spans="1:48" ht="15.75" customHeight="1" x14ac:dyDescent="0.95">
      <c r="A378" s="262"/>
      <c r="B378" s="262"/>
      <c r="Q378" s="261"/>
      <c r="R378" s="261"/>
      <c r="AV378" s="260"/>
    </row>
    <row r="379" spans="1:48" ht="15.75" customHeight="1" x14ac:dyDescent="0.95">
      <c r="A379" s="262"/>
      <c r="B379" s="262"/>
      <c r="Q379" s="261"/>
      <c r="R379" s="261"/>
      <c r="AV379" s="260"/>
    </row>
    <row r="380" spans="1:48" ht="15.75" customHeight="1" x14ac:dyDescent="0.95">
      <c r="A380" s="262"/>
      <c r="B380" s="262"/>
      <c r="Q380" s="261"/>
      <c r="R380" s="261"/>
      <c r="AV380" s="260"/>
    </row>
    <row r="381" spans="1:48" ht="15.75" customHeight="1" x14ac:dyDescent="0.95">
      <c r="A381" s="262"/>
      <c r="B381" s="262"/>
      <c r="Q381" s="261"/>
      <c r="R381" s="261"/>
      <c r="AV381" s="260"/>
    </row>
    <row r="382" spans="1:48" ht="15.75" customHeight="1" x14ac:dyDescent="0.95">
      <c r="A382" s="262"/>
      <c r="B382" s="262"/>
      <c r="Q382" s="261"/>
      <c r="R382" s="261"/>
      <c r="AV382" s="260"/>
    </row>
    <row r="383" spans="1:48" ht="15.75" customHeight="1" x14ac:dyDescent="0.95">
      <c r="A383" s="262"/>
      <c r="B383" s="262"/>
      <c r="Q383" s="261"/>
      <c r="R383" s="261"/>
      <c r="AV383" s="260"/>
    </row>
    <row r="384" spans="1:48" ht="15.75" customHeight="1" x14ac:dyDescent="0.95">
      <c r="A384" s="262"/>
      <c r="B384" s="262"/>
      <c r="Q384" s="261"/>
      <c r="R384" s="261"/>
      <c r="AV384" s="260"/>
    </row>
    <row r="385" spans="1:48" ht="15.75" customHeight="1" x14ac:dyDescent="0.95">
      <c r="A385" s="262"/>
      <c r="B385" s="262"/>
      <c r="Q385" s="261"/>
      <c r="R385" s="261"/>
      <c r="AV385" s="260"/>
    </row>
    <row r="386" spans="1:48" ht="15.75" customHeight="1" x14ac:dyDescent="0.95">
      <c r="A386" s="262"/>
      <c r="B386" s="262"/>
      <c r="Q386" s="261"/>
      <c r="R386" s="261"/>
      <c r="AV386" s="260"/>
    </row>
    <row r="387" spans="1:48" ht="15.75" customHeight="1" x14ac:dyDescent="0.95">
      <c r="A387" s="262"/>
      <c r="B387" s="262"/>
      <c r="Q387" s="261"/>
      <c r="R387" s="261"/>
      <c r="AV387" s="260"/>
    </row>
    <row r="388" spans="1:48" ht="15.75" customHeight="1" x14ac:dyDescent="0.95">
      <c r="A388" s="262"/>
      <c r="B388" s="262"/>
      <c r="Q388" s="261"/>
      <c r="R388" s="261"/>
      <c r="AV388" s="260"/>
    </row>
    <row r="389" spans="1:48" ht="15.75" customHeight="1" x14ac:dyDescent="0.95">
      <c r="A389" s="262"/>
      <c r="B389" s="262"/>
      <c r="Q389" s="261"/>
      <c r="R389" s="261"/>
      <c r="AV389" s="260"/>
    </row>
    <row r="390" spans="1:48" ht="15.75" customHeight="1" x14ac:dyDescent="0.95">
      <c r="A390" s="262"/>
      <c r="B390" s="262"/>
      <c r="Q390" s="261"/>
      <c r="R390" s="261"/>
      <c r="AV390" s="260"/>
    </row>
    <row r="391" spans="1:48" ht="15.75" customHeight="1" x14ac:dyDescent="0.95">
      <c r="A391" s="262"/>
      <c r="B391" s="262"/>
      <c r="Q391" s="261"/>
      <c r="R391" s="261"/>
      <c r="AV391" s="260"/>
    </row>
    <row r="392" spans="1:48" ht="15.75" customHeight="1" x14ac:dyDescent="0.95">
      <c r="A392" s="262"/>
      <c r="B392" s="262"/>
      <c r="Q392" s="261"/>
      <c r="R392" s="261"/>
      <c r="AV392" s="260"/>
    </row>
    <row r="393" spans="1:48" ht="15.75" customHeight="1" x14ac:dyDescent="0.95">
      <c r="A393" s="262"/>
      <c r="B393" s="262"/>
      <c r="Q393" s="261"/>
      <c r="R393" s="261"/>
      <c r="AV393" s="260"/>
    </row>
    <row r="394" spans="1:48" ht="15.75" customHeight="1" x14ac:dyDescent="0.95">
      <c r="A394" s="262"/>
      <c r="B394" s="262"/>
      <c r="Q394" s="261"/>
      <c r="R394" s="261"/>
      <c r="AV394" s="260"/>
    </row>
    <row r="395" spans="1:48" ht="15.75" customHeight="1" x14ac:dyDescent="0.95">
      <c r="A395" s="262"/>
      <c r="B395" s="262"/>
      <c r="Q395" s="261"/>
      <c r="R395" s="261"/>
      <c r="AV395" s="260"/>
    </row>
    <row r="396" spans="1:48" ht="15.75" customHeight="1" x14ac:dyDescent="0.95">
      <c r="A396" s="262"/>
      <c r="B396" s="262"/>
      <c r="Q396" s="261"/>
      <c r="R396" s="261"/>
      <c r="AV396" s="260"/>
    </row>
    <row r="397" spans="1:48" ht="15.75" customHeight="1" x14ac:dyDescent="0.95">
      <c r="A397" s="262"/>
      <c r="B397" s="262"/>
      <c r="Q397" s="261"/>
      <c r="R397" s="261"/>
      <c r="AV397" s="260"/>
    </row>
    <row r="398" spans="1:48" ht="15.75" customHeight="1" x14ac:dyDescent="0.95">
      <c r="A398" s="262"/>
      <c r="B398" s="262"/>
      <c r="Q398" s="261"/>
      <c r="R398" s="261"/>
      <c r="AV398" s="260"/>
    </row>
    <row r="399" spans="1:48" ht="15.75" customHeight="1" x14ac:dyDescent="0.95">
      <c r="A399" s="262"/>
      <c r="B399" s="262"/>
      <c r="Q399" s="261"/>
      <c r="R399" s="261"/>
      <c r="AV399" s="260"/>
    </row>
    <row r="400" spans="1:48" ht="15.75" customHeight="1" x14ac:dyDescent="0.95">
      <c r="A400" s="262"/>
      <c r="B400" s="262"/>
      <c r="Q400" s="261"/>
      <c r="R400" s="261"/>
      <c r="AV400" s="260"/>
    </row>
    <row r="401" spans="1:48" ht="15.75" customHeight="1" x14ac:dyDescent="0.95">
      <c r="A401" s="262"/>
      <c r="B401" s="262"/>
      <c r="Q401" s="261"/>
      <c r="R401" s="261"/>
      <c r="AV401" s="260"/>
    </row>
    <row r="402" spans="1:48" ht="15.75" customHeight="1" x14ac:dyDescent="0.95">
      <c r="A402" s="262"/>
      <c r="B402" s="262"/>
      <c r="Q402" s="261"/>
      <c r="R402" s="261"/>
      <c r="AV402" s="260"/>
    </row>
    <row r="403" spans="1:48" ht="15.75" customHeight="1" x14ac:dyDescent="0.95">
      <c r="A403" s="262"/>
      <c r="B403" s="262"/>
      <c r="Q403" s="261"/>
      <c r="R403" s="261"/>
      <c r="AV403" s="260"/>
    </row>
    <row r="404" spans="1:48" ht="15.75" customHeight="1" x14ac:dyDescent="0.95">
      <c r="A404" s="262"/>
      <c r="B404" s="262"/>
      <c r="Q404" s="261"/>
      <c r="R404" s="261"/>
      <c r="AV404" s="260"/>
    </row>
    <row r="405" spans="1:48" ht="15.75" customHeight="1" x14ac:dyDescent="0.95">
      <c r="A405" s="262"/>
      <c r="B405" s="262"/>
      <c r="Q405" s="261"/>
      <c r="R405" s="261"/>
      <c r="AV405" s="260"/>
    </row>
    <row r="406" spans="1:48" ht="15.75" customHeight="1" x14ac:dyDescent="0.95">
      <c r="A406" s="262"/>
      <c r="B406" s="262"/>
      <c r="Q406" s="261"/>
      <c r="R406" s="261"/>
      <c r="AV406" s="260"/>
    </row>
    <row r="407" spans="1:48" ht="15.75" customHeight="1" x14ac:dyDescent="0.95">
      <c r="A407" s="262"/>
      <c r="B407" s="262"/>
      <c r="Q407" s="261"/>
      <c r="R407" s="261"/>
      <c r="AV407" s="260"/>
    </row>
    <row r="408" spans="1:48" ht="15.75" customHeight="1" x14ac:dyDescent="0.95">
      <c r="A408" s="262"/>
      <c r="B408" s="262"/>
      <c r="Q408" s="261"/>
      <c r="R408" s="261"/>
      <c r="AV408" s="260"/>
    </row>
    <row r="409" spans="1:48" ht="15.75" customHeight="1" x14ac:dyDescent="0.95">
      <c r="A409" s="262"/>
      <c r="B409" s="262"/>
      <c r="Q409" s="261"/>
      <c r="R409" s="261"/>
      <c r="AV409" s="260"/>
    </row>
    <row r="410" spans="1:48" ht="15.75" customHeight="1" x14ac:dyDescent="0.95">
      <c r="A410" s="262"/>
      <c r="B410" s="262"/>
      <c r="Q410" s="261"/>
      <c r="R410" s="261"/>
      <c r="AV410" s="260"/>
    </row>
    <row r="411" spans="1:48" ht="15.75" customHeight="1" x14ac:dyDescent="0.95">
      <c r="A411" s="262"/>
      <c r="B411" s="262"/>
      <c r="Q411" s="261"/>
      <c r="R411" s="261"/>
      <c r="AV411" s="260"/>
    </row>
    <row r="412" spans="1:48" ht="15.75" customHeight="1" x14ac:dyDescent="0.95">
      <c r="A412" s="262"/>
      <c r="B412" s="262"/>
      <c r="Q412" s="261"/>
      <c r="R412" s="261"/>
      <c r="AV412" s="260"/>
    </row>
    <row r="413" spans="1:48" ht="15.75" customHeight="1" x14ac:dyDescent="0.95">
      <c r="A413" s="262"/>
      <c r="B413" s="262"/>
      <c r="Q413" s="261"/>
      <c r="R413" s="261"/>
      <c r="AV413" s="260"/>
    </row>
    <row r="414" spans="1:48" ht="15.75" customHeight="1" x14ac:dyDescent="0.95">
      <c r="A414" s="262"/>
      <c r="B414" s="262"/>
      <c r="Q414" s="261"/>
      <c r="R414" s="261"/>
      <c r="AV414" s="260"/>
    </row>
    <row r="415" spans="1:48" ht="15.75" customHeight="1" x14ac:dyDescent="0.95">
      <c r="A415" s="262"/>
      <c r="B415" s="262"/>
      <c r="Q415" s="261"/>
      <c r="R415" s="261"/>
      <c r="AV415" s="260"/>
    </row>
    <row r="416" spans="1:48" ht="15.75" customHeight="1" x14ac:dyDescent="0.95">
      <c r="A416" s="262"/>
      <c r="B416" s="262"/>
      <c r="Q416" s="261"/>
      <c r="R416" s="261"/>
      <c r="AV416" s="260"/>
    </row>
    <row r="417" spans="1:48" ht="15.75" customHeight="1" x14ac:dyDescent="0.95">
      <c r="A417" s="262"/>
      <c r="B417" s="262"/>
      <c r="Q417" s="261"/>
      <c r="R417" s="261"/>
      <c r="AV417" s="260"/>
    </row>
    <row r="418" spans="1:48" ht="15.75" customHeight="1" x14ac:dyDescent="0.95">
      <c r="A418" s="262"/>
      <c r="B418" s="262"/>
      <c r="Q418" s="261"/>
      <c r="R418" s="261"/>
      <c r="AV418" s="260"/>
    </row>
    <row r="419" spans="1:48" ht="15.75" customHeight="1" x14ac:dyDescent="0.95">
      <c r="A419" s="262"/>
      <c r="B419" s="262"/>
      <c r="Q419" s="261"/>
      <c r="R419" s="261"/>
      <c r="AV419" s="260"/>
    </row>
    <row r="420" spans="1:48" ht="15.75" customHeight="1" x14ac:dyDescent="0.95">
      <c r="A420" s="262"/>
      <c r="B420" s="262"/>
      <c r="Q420" s="261"/>
      <c r="R420" s="261"/>
      <c r="AV420" s="260"/>
    </row>
    <row r="421" spans="1:48" ht="15.75" customHeight="1" x14ac:dyDescent="0.95">
      <c r="A421" s="262"/>
      <c r="B421" s="262"/>
      <c r="Q421" s="261"/>
      <c r="R421" s="261"/>
      <c r="AV421" s="260"/>
    </row>
    <row r="422" spans="1:48" ht="15.75" customHeight="1" x14ac:dyDescent="0.95">
      <c r="A422" s="262"/>
      <c r="B422" s="262"/>
      <c r="Q422" s="261"/>
      <c r="R422" s="261"/>
      <c r="AV422" s="260"/>
    </row>
    <row r="423" spans="1:48" ht="15.75" customHeight="1" x14ac:dyDescent="0.95">
      <c r="A423" s="262"/>
      <c r="B423" s="262"/>
      <c r="Q423" s="261"/>
      <c r="R423" s="261"/>
      <c r="AV423" s="260"/>
    </row>
    <row r="424" spans="1:48" ht="15.75" customHeight="1" x14ac:dyDescent="0.95">
      <c r="A424" s="262"/>
      <c r="B424" s="262"/>
      <c r="Q424" s="261"/>
      <c r="R424" s="261"/>
      <c r="AV424" s="260"/>
    </row>
    <row r="425" spans="1:48" ht="15.75" customHeight="1" x14ac:dyDescent="0.95">
      <c r="A425" s="262"/>
      <c r="B425" s="262"/>
      <c r="Q425" s="261"/>
      <c r="R425" s="261"/>
      <c r="AV425" s="260"/>
    </row>
    <row r="426" spans="1:48" ht="15.75" customHeight="1" x14ac:dyDescent="0.95">
      <c r="A426" s="262"/>
      <c r="B426" s="262"/>
      <c r="Q426" s="261"/>
      <c r="R426" s="261"/>
      <c r="AV426" s="260"/>
    </row>
    <row r="427" spans="1:48" ht="15.75" customHeight="1" x14ac:dyDescent="0.95">
      <c r="A427" s="262"/>
      <c r="B427" s="262"/>
      <c r="Q427" s="261"/>
      <c r="R427" s="261"/>
      <c r="AV427" s="260"/>
    </row>
    <row r="428" spans="1:48" ht="15.75" customHeight="1" x14ac:dyDescent="0.95">
      <c r="A428" s="262"/>
      <c r="B428" s="262"/>
      <c r="Q428" s="261"/>
      <c r="R428" s="261"/>
      <c r="AV428" s="260"/>
    </row>
    <row r="429" spans="1:48" ht="15.75" customHeight="1" x14ac:dyDescent="0.95">
      <c r="A429" s="262"/>
      <c r="B429" s="262"/>
      <c r="Q429" s="261"/>
      <c r="R429" s="261"/>
      <c r="AV429" s="260"/>
    </row>
    <row r="430" spans="1:48" ht="15.75" customHeight="1" x14ac:dyDescent="0.95">
      <c r="A430" s="262"/>
      <c r="B430" s="262"/>
      <c r="Q430" s="261"/>
      <c r="R430" s="261"/>
      <c r="AV430" s="260"/>
    </row>
    <row r="431" spans="1:48" ht="15.75" customHeight="1" x14ac:dyDescent="0.95">
      <c r="A431" s="262"/>
      <c r="B431" s="262"/>
      <c r="Q431" s="261"/>
      <c r="R431" s="261"/>
      <c r="AV431" s="260"/>
    </row>
    <row r="432" spans="1:48" ht="15.75" customHeight="1" x14ac:dyDescent="0.95">
      <c r="A432" s="262"/>
      <c r="B432" s="262"/>
      <c r="Q432" s="261"/>
      <c r="R432" s="261"/>
      <c r="AV432" s="260"/>
    </row>
    <row r="433" spans="1:48" ht="15.75" customHeight="1" x14ac:dyDescent="0.95">
      <c r="A433" s="262"/>
      <c r="B433" s="262"/>
      <c r="Q433" s="261"/>
      <c r="R433" s="261"/>
      <c r="AV433" s="260"/>
    </row>
    <row r="434" spans="1:48" ht="15.75" customHeight="1" x14ac:dyDescent="0.95">
      <c r="A434" s="262"/>
      <c r="B434" s="262"/>
      <c r="Q434" s="261"/>
      <c r="R434" s="261"/>
      <c r="AV434" s="260"/>
    </row>
    <row r="435" spans="1:48" ht="15.75" customHeight="1" x14ac:dyDescent="0.95">
      <c r="A435" s="262"/>
      <c r="B435" s="262"/>
      <c r="Q435" s="261"/>
      <c r="R435" s="261"/>
      <c r="AV435" s="260"/>
    </row>
    <row r="436" spans="1:48" ht="15.75" customHeight="1" x14ac:dyDescent="0.95">
      <c r="A436" s="262"/>
      <c r="B436" s="262"/>
      <c r="Q436" s="261"/>
      <c r="R436" s="261"/>
      <c r="AV436" s="260"/>
    </row>
    <row r="437" spans="1:48" ht="15.75" customHeight="1" x14ac:dyDescent="0.95">
      <c r="A437" s="262"/>
      <c r="B437" s="262"/>
      <c r="Q437" s="261"/>
      <c r="R437" s="261"/>
      <c r="AV437" s="260"/>
    </row>
    <row r="438" spans="1:48" ht="15.75" customHeight="1" x14ac:dyDescent="0.95">
      <c r="A438" s="262"/>
      <c r="B438" s="262"/>
      <c r="Q438" s="261"/>
      <c r="R438" s="261"/>
      <c r="AV438" s="260"/>
    </row>
    <row r="439" spans="1:48" ht="15.75" customHeight="1" x14ac:dyDescent="0.95">
      <c r="A439" s="262"/>
      <c r="B439" s="262"/>
      <c r="Q439" s="261"/>
      <c r="R439" s="261"/>
      <c r="AV439" s="260"/>
    </row>
    <row r="440" spans="1:48" ht="15.75" customHeight="1" x14ac:dyDescent="0.95">
      <c r="A440" s="262"/>
      <c r="B440" s="262"/>
      <c r="Q440" s="261"/>
      <c r="R440" s="261"/>
      <c r="AV440" s="260"/>
    </row>
    <row r="441" spans="1:48" ht="15.75" customHeight="1" x14ac:dyDescent="0.95">
      <c r="A441" s="262"/>
      <c r="B441" s="262"/>
      <c r="Q441" s="261"/>
      <c r="R441" s="261"/>
      <c r="AV441" s="260"/>
    </row>
    <row r="442" spans="1:48" ht="15.75" customHeight="1" x14ac:dyDescent="0.95">
      <c r="A442" s="262"/>
      <c r="B442" s="262"/>
      <c r="Q442" s="261"/>
      <c r="R442" s="261"/>
      <c r="AV442" s="260"/>
    </row>
    <row r="443" spans="1:48" ht="15.75" customHeight="1" x14ac:dyDescent="0.95">
      <c r="A443" s="262"/>
      <c r="B443" s="262"/>
      <c r="Q443" s="261"/>
      <c r="R443" s="261"/>
      <c r="AV443" s="260"/>
    </row>
    <row r="444" spans="1:48" ht="15.75" customHeight="1" x14ac:dyDescent="0.95">
      <c r="A444" s="262"/>
      <c r="B444" s="262"/>
      <c r="Q444" s="261"/>
      <c r="R444" s="261"/>
      <c r="AV444" s="260"/>
    </row>
    <row r="445" spans="1:48" ht="15.75" customHeight="1" x14ac:dyDescent="0.95">
      <c r="A445" s="262"/>
      <c r="B445" s="262"/>
      <c r="Q445" s="261"/>
      <c r="R445" s="261"/>
      <c r="AV445" s="260"/>
    </row>
    <row r="446" spans="1:48" ht="15.75" customHeight="1" x14ac:dyDescent="0.95">
      <c r="A446" s="262"/>
      <c r="B446" s="262"/>
      <c r="Q446" s="261"/>
      <c r="R446" s="261"/>
      <c r="AV446" s="260"/>
    </row>
    <row r="447" spans="1:48" ht="15.75" customHeight="1" x14ac:dyDescent="0.95">
      <c r="A447" s="262"/>
      <c r="B447" s="262"/>
      <c r="Q447" s="261"/>
      <c r="R447" s="261"/>
      <c r="AV447" s="260"/>
    </row>
    <row r="448" spans="1:48" ht="15.75" customHeight="1" x14ac:dyDescent="0.95">
      <c r="A448" s="262"/>
      <c r="B448" s="262"/>
      <c r="Q448" s="261"/>
      <c r="R448" s="261"/>
      <c r="AV448" s="260"/>
    </row>
    <row r="449" spans="1:48" ht="15.75" customHeight="1" x14ac:dyDescent="0.95">
      <c r="A449" s="262"/>
      <c r="B449" s="262"/>
      <c r="Q449" s="261"/>
      <c r="R449" s="261"/>
      <c r="AV449" s="260"/>
    </row>
    <row r="450" spans="1:48" ht="15.75" customHeight="1" x14ac:dyDescent="0.95">
      <c r="A450" s="262"/>
      <c r="B450" s="262"/>
      <c r="Q450" s="261"/>
      <c r="R450" s="261"/>
      <c r="AV450" s="260"/>
    </row>
    <row r="451" spans="1:48" ht="15.75" customHeight="1" x14ac:dyDescent="0.95">
      <c r="A451" s="262"/>
      <c r="B451" s="262"/>
      <c r="Q451" s="261"/>
      <c r="R451" s="261"/>
      <c r="AV451" s="260"/>
    </row>
    <row r="452" spans="1:48" ht="15.75" customHeight="1" x14ac:dyDescent="0.95">
      <c r="A452" s="262"/>
      <c r="B452" s="262"/>
      <c r="Q452" s="261"/>
      <c r="R452" s="261"/>
      <c r="AV452" s="260"/>
    </row>
    <row r="453" spans="1:48" ht="15.75" customHeight="1" x14ac:dyDescent="0.95">
      <c r="A453" s="262"/>
      <c r="B453" s="262"/>
      <c r="Q453" s="261"/>
      <c r="R453" s="261"/>
      <c r="AV453" s="260"/>
    </row>
    <row r="454" spans="1:48" ht="15.75" customHeight="1" x14ac:dyDescent="0.95">
      <c r="A454" s="262"/>
      <c r="B454" s="262"/>
      <c r="Q454" s="261"/>
      <c r="R454" s="261"/>
      <c r="AV454" s="260"/>
    </row>
    <row r="455" spans="1:48" ht="15.75" customHeight="1" x14ac:dyDescent="0.95">
      <c r="A455" s="262"/>
      <c r="B455" s="262"/>
      <c r="Q455" s="261"/>
      <c r="R455" s="261"/>
      <c r="AV455" s="260"/>
    </row>
    <row r="456" spans="1:48" ht="15.75" customHeight="1" x14ac:dyDescent="0.95">
      <c r="A456" s="262"/>
      <c r="B456" s="262"/>
      <c r="Q456" s="261"/>
      <c r="R456" s="261"/>
      <c r="AV456" s="260"/>
    </row>
    <row r="457" spans="1:48" ht="15.75" customHeight="1" x14ac:dyDescent="0.95">
      <c r="A457" s="262"/>
      <c r="B457" s="262"/>
      <c r="Q457" s="261"/>
      <c r="R457" s="261"/>
      <c r="AV457" s="260"/>
    </row>
    <row r="458" spans="1:48" ht="15.75" customHeight="1" x14ac:dyDescent="0.95">
      <c r="A458" s="262"/>
      <c r="B458" s="262"/>
      <c r="Q458" s="261"/>
      <c r="R458" s="261"/>
      <c r="AV458" s="260"/>
    </row>
    <row r="459" spans="1:48" ht="15.75" customHeight="1" x14ac:dyDescent="0.95">
      <c r="A459" s="262"/>
      <c r="B459" s="262"/>
      <c r="Q459" s="261"/>
      <c r="R459" s="261"/>
      <c r="AV459" s="260"/>
    </row>
    <row r="460" spans="1:48" ht="15.75" customHeight="1" x14ac:dyDescent="0.95">
      <c r="A460" s="262"/>
      <c r="B460" s="262"/>
      <c r="Q460" s="261"/>
      <c r="R460" s="261"/>
      <c r="AV460" s="260"/>
    </row>
    <row r="461" spans="1:48" ht="15.75" customHeight="1" x14ac:dyDescent="0.95">
      <c r="A461" s="262"/>
      <c r="B461" s="262"/>
      <c r="Q461" s="261"/>
      <c r="R461" s="261"/>
      <c r="AV461" s="260"/>
    </row>
    <row r="462" spans="1:48" ht="15.75" customHeight="1" x14ac:dyDescent="0.95">
      <c r="A462" s="262"/>
      <c r="B462" s="262"/>
      <c r="Q462" s="261"/>
      <c r="R462" s="261"/>
      <c r="AV462" s="260"/>
    </row>
    <row r="463" spans="1:48" ht="15.75" customHeight="1" x14ac:dyDescent="0.95">
      <c r="A463" s="262"/>
      <c r="B463" s="262"/>
      <c r="Q463" s="261"/>
      <c r="R463" s="261"/>
      <c r="AV463" s="260"/>
    </row>
    <row r="464" spans="1:48" ht="15.75" customHeight="1" x14ac:dyDescent="0.95">
      <c r="A464" s="262"/>
      <c r="B464" s="262"/>
      <c r="Q464" s="261"/>
      <c r="R464" s="261"/>
      <c r="AV464" s="260"/>
    </row>
    <row r="465" spans="1:48" ht="15.75" customHeight="1" x14ac:dyDescent="0.95">
      <c r="A465" s="262"/>
      <c r="B465" s="262"/>
      <c r="Q465" s="261"/>
      <c r="R465" s="261"/>
      <c r="AV465" s="260"/>
    </row>
    <row r="466" spans="1:48" ht="15.75" customHeight="1" x14ac:dyDescent="0.95">
      <c r="A466" s="262"/>
      <c r="B466" s="262"/>
      <c r="Q466" s="261"/>
      <c r="R466" s="261"/>
      <c r="AV466" s="260"/>
    </row>
    <row r="467" spans="1:48" ht="15.75" customHeight="1" x14ac:dyDescent="0.95">
      <c r="A467" s="262"/>
      <c r="B467" s="262"/>
      <c r="Q467" s="261"/>
      <c r="R467" s="261"/>
      <c r="AV467" s="260"/>
    </row>
    <row r="468" spans="1:48" ht="15.75" customHeight="1" x14ac:dyDescent="0.95">
      <c r="A468" s="262"/>
      <c r="B468" s="262"/>
      <c r="Q468" s="261"/>
      <c r="R468" s="261"/>
      <c r="AV468" s="260"/>
    </row>
    <row r="469" spans="1:48" ht="15.75" customHeight="1" x14ac:dyDescent="0.95">
      <c r="A469" s="262"/>
      <c r="B469" s="262"/>
      <c r="Q469" s="261"/>
      <c r="R469" s="261"/>
      <c r="AV469" s="260"/>
    </row>
    <row r="470" spans="1:48" ht="15.75" customHeight="1" x14ac:dyDescent="0.95">
      <c r="A470" s="262"/>
      <c r="B470" s="262"/>
      <c r="Q470" s="261"/>
      <c r="R470" s="261"/>
      <c r="AV470" s="260"/>
    </row>
    <row r="471" spans="1:48" ht="15.75" customHeight="1" x14ac:dyDescent="0.95">
      <c r="A471" s="262"/>
      <c r="B471" s="262"/>
      <c r="Q471" s="261"/>
      <c r="R471" s="261"/>
      <c r="AV471" s="260"/>
    </row>
    <row r="472" spans="1:48" ht="15.75" customHeight="1" x14ac:dyDescent="0.95">
      <c r="A472" s="262"/>
      <c r="B472" s="262"/>
      <c r="Q472" s="261"/>
      <c r="R472" s="261"/>
      <c r="AV472" s="260"/>
    </row>
    <row r="473" spans="1:48" ht="15.75" customHeight="1" x14ac:dyDescent="0.95">
      <c r="A473" s="262"/>
      <c r="B473" s="262"/>
      <c r="Q473" s="261"/>
      <c r="R473" s="261"/>
      <c r="AV473" s="260"/>
    </row>
    <row r="474" spans="1:48" ht="15.75" customHeight="1" x14ac:dyDescent="0.95">
      <c r="A474" s="262"/>
      <c r="B474" s="262"/>
      <c r="Q474" s="261"/>
      <c r="R474" s="261"/>
      <c r="AV474" s="260"/>
    </row>
    <row r="475" spans="1:48" ht="15.75" customHeight="1" x14ac:dyDescent="0.95">
      <c r="A475" s="262"/>
      <c r="B475" s="262"/>
      <c r="Q475" s="261"/>
      <c r="R475" s="261"/>
      <c r="AV475" s="260"/>
    </row>
    <row r="476" spans="1:48" ht="15.75" customHeight="1" x14ac:dyDescent="0.95">
      <c r="A476" s="262"/>
      <c r="B476" s="262"/>
      <c r="Q476" s="261"/>
      <c r="R476" s="261"/>
      <c r="AV476" s="260"/>
    </row>
    <row r="477" spans="1:48" ht="15.75" customHeight="1" x14ac:dyDescent="0.95">
      <c r="A477" s="262"/>
      <c r="B477" s="262"/>
      <c r="Q477" s="261"/>
      <c r="R477" s="261"/>
      <c r="AV477" s="260"/>
    </row>
    <row r="478" spans="1:48" ht="15.75" customHeight="1" x14ac:dyDescent="0.95">
      <c r="A478" s="262"/>
      <c r="B478" s="262"/>
      <c r="Q478" s="261"/>
      <c r="R478" s="261"/>
      <c r="AV478" s="260"/>
    </row>
    <row r="479" spans="1:48" ht="15.75" customHeight="1" x14ac:dyDescent="0.95">
      <c r="A479" s="262"/>
      <c r="B479" s="262"/>
      <c r="Q479" s="261"/>
      <c r="R479" s="261"/>
      <c r="AV479" s="260"/>
    </row>
    <row r="480" spans="1:48" ht="15.75" customHeight="1" x14ac:dyDescent="0.95">
      <c r="A480" s="262"/>
      <c r="B480" s="262"/>
      <c r="Q480" s="261"/>
      <c r="R480" s="261"/>
      <c r="AV480" s="260"/>
    </row>
    <row r="481" spans="1:48" ht="15.75" customHeight="1" x14ac:dyDescent="0.95">
      <c r="A481" s="262"/>
      <c r="B481" s="262"/>
      <c r="Q481" s="261"/>
      <c r="R481" s="261"/>
      <c r="AV481" s="260"/>
    </row>
    <row r="482" spans="1:48" ht="15.75" customHeight="1" x14ac:dyDescent="0.95">
      <c r="A482" s="262"/>
      <c r="B482" s="262"/>
      <c r="Q482" s="261"/>
      <c r="R482" s="261"/>
      <c r="AV482" s="260"/>
    </row>
    <row r="483" spans="1:48" ht="15.75" customHeight="1" x14ac:dyDescent="0.95">
      <c r="A483" s="262"/>
      <c r="B483" s="262"/>
      <c r="Q483" s="261"/>
      <c r="R483" s="261"/>
      <c r="AV483" s="260"/>
    </row>
    <row r="484" spans="1:48" ht="15.75" customHeight="1" x14ac:dyDescent="0.95">
      <c r="A484" s="262"/>
      <c r="B484" s="262"/>
      <c r="Q484" s="261"/>
      <c r="R484" s="261"/>
      <c r="AV484" s="260"/>
    </row>
    <row r="485" spans="1:48" ht="15.75" customHeight="1" x14ac:dyDescent="0.95">
      <c r="A485" s="262"/>
      <c r="B485" s="262"/>
      <c r="Q485" s="261"/>
      <c r="R485" s="261"/>
      <c r="AV485" s="260"/>
    </row>
    <row r="486" spans="1:48" ht="15.75" customHeight="1" x14ac:dyDescent="0.95">
      <c r="A486" s="262"/>
      <c r="B486" s="262"/>
      <c r="Q486" s="261"/>
      <c r="R486" s="261"/>
      <c r="AV486" s="260"/>
    </row>
    <row r="487" spans="1:48" ht="15.75" customHeight="1" x14ac:dyDescent="0.95">
      <c r="A487" s="262"/>
      <c r="B487" s="262"/>
      <c r="Q487" s="261"/>
      <c r="R487" s="261"/>
      <c r="AV487" s="260"/>
    </row>
    <row r="488" spans="1:48" ht="15.75" customHeight="1" x14ac:dyDescent="0.95">
      <c r="A488" s="262"/>
      <c r="B488" s="262"/>
      <c r="Q488" s="261"/>
      <c r="R488" s="261"/>
      <c r="AV488" s="260"/>
    </row>
    <row r="489" spans="1:48" ht="15.75" customHeight="1" x14ac:dyDescent="0.95">
      <c r="A489" s="262"/>
      <c r="B489" s="262"/>
      <c r="Q489" s="261"/>
      <c r="R489" s="261"/>
      <c r="AV489" s="260"/>
    </row>
    <row r="490" spans="1:48" ht="15.75" customHeight="1" x14ac:dyDescent="0.95">
      <c r="A490" s="262"/>
      <c r="B490" s="262"/>
      <c r="Q490" s="261"/>
      <c r="R490" s="261"/>
      <c r="AV490" s="260"/>
    </row>
    <row r="491" spans="1:48" ht="15.75" customHeight="1" x14ac:dyDescent="0.95">
      <c r="A491" s="262"/>
      <c r="B491" s="262"/>
      <c r="Q491" s="261"/>
      <c r="R491" s="261"/>
      <c r="AV491" s="260"/>
    </row>
    <row r="492" spans="1:48" ht="15.75" customHeight="1" x14ac:dyDescent="0.95">
      <c r="A492" s="262"/>
      <c r="B492" s="262"/>
      <c r="Q492" s="261"/>
      <c r="R492" s="261"/>
      <c r="AV492" s="260"/>
    </row>
    <row r="493" spans="1:48" ht="15.75" customHeight="1" x14ac:dyDescent="0.95">
      <c r="A493" s="262"/>
      <c r="B493" s="262"/>
      <c r="Q493" s="261"/>
      <c r="R493" s="261"/>
      <c r="AV493" s="260"/>
    </row>
    <row r="494" spans="1:48" ht="15.75" customHeight="1" x14ac:dyDescent="0.95">
      <c r="A494" s="262"/>
      <c r="B494" s="262"/>
      <c r="Q494" s="261"/>
      <c r="R494" s="261"/>
      <c r="AV494" s="260"/>
    </row>
    <row r="495" spans="1:48" ht="15.75" customHeight="1" x14ac:dyDescent="0.95">
      <c r="A495" s="262"/>
      <c r="B495" s="262"/>
      <c r="Q495" s="261"/>
      <c r="R495" s="261"/>
      <c r="AV495" s="260"/>
    </row>
    <row r="496" spans="1:48" ht="15.75" customHeight="1" x14ac:dyDescent="0.95">
      <c r="A496" s="262"/>
      <c r="B496" s="262"/>
      <c r="Q496" s="261"/>
      <c r="R496" s="261"/>
      <c r="AV496" s="260"/>
    </row>
    <row r="497" spans="1:48" ht="15.75" customHeight="1" x14ac:dyDescent="0.95">
      <c r="A497" s="262"/>
      <c r="B497" s="262"/>
      <c r="Q497" s="261"/>
      <c r="R497" s="261"/>
      <c r="AV497" s="260"/>
    </row>
    <row r="498" spans="1:48" ht="15.75" customHeight="1" x14ac:dyDescent="0.95">
      <c r="A498" s="262"/>
      <c r="B498" s="262"/>
      <c r="Q498" s="261"/>
      <c r="R498" s="261"/>
      <c r="AV498" s="260"/>
    </row>
    <row r="499" spans="1:48" ht="15.75" customHeight="1" x14ac:dyDescent="0.95">
      <c r="A499" s="262"/>
      <c r="B499" s="262"/>
      <c r="Q499" s="261"/>
      <c r="R499" s="261"/>
      <c r="AV499" s="260"/>
    </row>
    <row r="500" spans="1:48" ht="15.75" customHeight="1" x14ac:dyDescent="0.95">
      <c r="A500" s="262"/>
      <c r="B500" s="262"/>
      <c r="Q500" s="261"/>
      <c r="R500" s="261"/>
      <c r="AV500" s="260"/>
    </row>
    <row r="501" spans="1:48" ht="15.75" customHeight="1" x14ac:dyDescent="0.95">
      <c r="A501" s="262"/>
      <c r="B501" s="262"/>
      <c r="Q501" s="261"/>
      <c r="R501" s="261"/>
      <c r="AV501" s="260"/>
    </row>
    <row r="502" spans="1:48" ht="15.75" customHeight="1" x14ac:dyDescent="0.95">
      <c r="A502" s="262"/>
      <c r="B502" s="262"/>
      <c r="Q502" s="261"/>
      <c r="R502" s="261"/>
      <c r="AV502" s="260"/>
    </row>
    <row r="503" spans="1:48" ht="15.75" customHeight="1" x14ac:dyDescent="0.95">
      <c r="A503" s="262"/>
      <c r="B503" s="262"/>
      <c r="Q503" s="261"/>
      <c r="R503" s="261"/>
      <c r="AV503" s="260"/>
    </row>
    <row r="504" spans="1:48" ht="15.75" customHeight="1" x14ac:dyDescent="0.95">
      <c r="A504" s="262"/>
      <c r="B504" s="262"/>
      <c r="Q504" s="261"/>
      <c r="R504" s="261"/>
      <c r="AV504" s="260"/>
    </row>
    <row r="505" spans="1:48" ht="15.75" customHeight="1" x14ac:dyDescent="0.95">
      <c r="A505" s="262"/>
      <c r="B505" s="262"/>
      <c r="Q505" s="261"/>
      <c r="R505" s="261"/>
      <c r="AV505" s="260"/>
    </row>
    <row r="506" spans="1:48" ht="15.75" customHeight="1" x14ac:dyDescent="0.95">
      <c r="A506" s="262"/>
      <c r="B506" s="262"/>
      <c r="Q506" s="261"/>
      <c r="R506" s="261"/>
      <c r="AV506" s="260"/>
    </row>
    <row r="507" spans="1:48" ht="15.75" customHeight="1" x14ac:dyDescent="0.95">
      <c r="A507" s="262"/>
      <c r="B507" s="262"/>
      <c r="Q507" s="261"/>
      <c r="R507" s="261"/>
      <c r="AV507" s="260"/>
    </row>
    <row r="508" spans="1:48" ht="15.75" customHeight="1" x14ac:dyDescent="0.95">
      <c r="A508" s="262"/>
      <c r="B508" s="262"/>
      <c r="Q508" s="261"/>
      <c r="R508" s="261"/>
      <c r="AV508" s="260"/>
    </row>
    <row r="509" spans="1:48" ht="15.75" customHeight="1" x14ac:dyDescent="0.95">
      <c r="A509" s="262"/>
      <c r="B509" s="262"/>
      <c r="Q509" s="261"/>
      <c r="R509" s="261"/>
      <c r="AV509" s="260"/>
    </row>
    <row r="510" spans="1:48" ht="15.75" customHeight="1" x14ac:dyDescent="0.95">
      <c r="A510" s="262"/>
      <c r="B510" s="262"/>
      <c r="Q510" s="261"/>
      <c r="R510" s="261"/>
      <c r="AV510" s="260"/>
    </row>
    <row r="511" spans="1:48" ht="15.75" customHeight="1" x14ac:dyDescent="0.95">
      <c r="A511" s="262"/>
      <c r="B511" s="262"/>
      <c r="Q511" s="261"/>
      <c r="R511" s="261"/>
      <c r="AV511" s="260"/>
    </row>
    <row r="512" spans="1:48" ht="15.75" customHeight="1" x14ac:dyDescent="0.95">
      <c r="A512" s="262"/>
      <c r="B512" s="262"/>
      <c r="Q512" s="261"/>
      <c r="R512" s="261"/>
      <c r="AV512" s="260"/>
    </row>
    <row r="513" spans="1:48" ht="15.75" customHeight="1" x14ac:dyDescent="0.95">
      <c r="A513" s="262"/>
      <c r="B513" s="262"/>
      <c r="Q513" s="261"/>
      <c r="R513" s="261"/>
      <c r="AV513" s="260"/>
    </row>
    <row r="514" spans="1:48" ht="15.75" customHeight="1" x14ac:dyDescent="0.95">
      <c r="A514" s="262"/>
      <c r="B514" s="262"/>
      <c r="Q514" s="261"/>
      <c r="R514" s="261"/>
      <c r="AV514" s="260"/>
    </row>
    <row r="515" spans="1:48" ht="15.75" customHeight="1" x14ac:dyDescent="0.95">
      <c r="A515" s="262"/>
      <c r="B515" s="262"/>
      <c r="Q515" s="261"/>
      <c r="R515" s="261"/>
      <c r="AV515" s="260"/>
    </row>
    <row r="516" spans="1:48" ht="15.75" customHeight="1" x14ac:dyDescent="0.95">
      <c r="A516" s="262"/>
      <c r="B516" s="262"/>
      <c r="Q516" s="261"/>
      <c r="R516" s="261"/>
      <c r="AV516" s="260"/>
    </row>
    <row r="517" spans="1:48" ht="15.75" customHeight="1" x14ac:dyDescent="0.95">
      <c r="A517" s="262"/>
      <c r="B517" s="262"/>
      <c r="Q517" s="261"/>
      <c r="R517" s="261"/>
      <c r="AV517" s="260"/>
    </row>
    <row r="518" spans="1:48" ht="15.75" customHeight="1" x14ac:dyDescent="0.95">
      <c r="A518" s="262"/>
      <c r="B518" s="262"/>
      <c r="Q518" s="261"/>
      <c r="R518" s="261"/>
      <c r="AV518" s="260"/>
    </row>
    <row r="519" spans="1:48" ht="15.75" customHeight="1" x14ac:dyDescent="0.95">
      <c r="A519" s="262"/>
      <c r="B519" s="262"/>
      <c r="Q519" s="261"/>
      <c r="R519" s="261"/>
      <c r="AV519" s="260"/>
    </row>
    <row r="520" spans="1:48" ht="15.75" customHeight="1" x14ac:dyDescent="0.95">
      <c r="A520" s="262"/>
      <c r="B520" s="262"/>
      <c r="Q520" s="261"/>
      <c r="R520" s="261"/>
      <c r="AV520" s="260"/>
    </row>
    <row r="521" spans="1:48" ht="15.75" customHeight="1" x14ac:dyDescent="0.95">
      <c r="A521" s="262"/>
      <c r="B521" s="262"/>
      <c r="Q521" s="261"/>
      <c r="R521" s="261"/>
      <c r="AV521" s="260"/>
    </row>
    <row r="522" spans="1:48" ht="15.75" customHeight="1" x14ac:dyDescent="0.95">
      <c r="A522" s="262"/>
      <c r="B522" s="262"/>
      <c r="Q522" s="261"/>
      <c r="R522" s="261"/>
      <c r="AV522" s="260"/>
    </row>
    <row r="523" spans="1:48" ht="15.75" customHeight="1" x14ac:dyDescent="0.95">
      <c r="A523" s="262"/>
      <c r="B523" s="262"/>
      <c r="Q523" s="261"/>
      <c r="R523" s="261"/>
      <c r="AV523" s="260"/>
    </row>
    <row r="524" spans="1:48" ht="15.75" customHeight="1" x14ac:dyDescent="0.95">
      <c r="A524" s="262"/>
      <c r="B524" s="262"/>
      <c r="Q524" s="261"/>
      <c r="R524" s="261"/>
      <c r="AV524" s="260"/>
    </row>
    <row r="525" spans="1:48" ht="15.75" customHeight="1" x14ac:dyDescent="0.95">
      <c r="A525" s="262"/>
      <c r="B525" s="262"/>
      <c r="Q525" s="261"/>
      <c r="R525" s="261"/>
      <c r="AV525" s="260"/>
    </row>
    <row r="526" spans="1:48" ht="15.75" customHeight="1" x14ac:dyDescent="0.95">
      <c r="A526" s="262"/>
      <c r="B526" s="262"/>
      <c r="Q526" s="261"/>
      <c r="R526" s="261"/>
      <c r="AV526" s="260"/>
    </row>
    <row r="527" spans="1:48" ht="15.75" customHeight="1" x14ac:dyDescent="0.95">
      <c r="A527" s="262"/>
      <c r="B527" s="262"/>
      <c r="Q527" s="261"/>
      <c r="R527" s="261"/>
      <c r="AV527" s="260"/>
    </row>
    <row r="528" spans="1:48" ht="15.75" customHeight="1" x14ac:dyDescent="0.95">
      <c r="A528" s="262"/>
      <c r="B528" s="262"/>
      <c r="Q528" s="261"/>
      <c r="R528" s="261"/>
      <c r="AV528" s="260"/>
    </row>
    <row r="529" spans="1:48" ht="15.75" customHeight="1" x14ac:dyDescent="0.95">
      <c r="A529" s="262"/>
      <c r="B529" s="262"/>
      <c r="Q529" s="261"/>
      <c r="R529" s="261"/>
      <c r="AV529" s="260"/>
    </row>
    <row r="530" spans="1:48" ht="15.75" customHeight="1" x14ac:dyDescent="0.95">
      <c r="A530" s="262"/>
      <c r="B530" s="262"/>
      <c r="Q530" s="261"/>
      <c r="R530" s="261"/>
      <c r="AV530" s="260"/>
    </row>
    <row r="531" spans="1:48" ht="15.75" customHeight="1" x14ac:dyDescent="0.95">
      <c r="A531" s="262"/>
      <c r="B531" s="262"/>
      <c r="Q531" s="261"/>
      <c r="R531" s="261"/>
      <c r="AV531" s="260"/>
    </row>
    <row r="532" spans="1:48" ht="15.75" customHeight="1" x14ac:dyDescent="0.95">
      <c r="A532" s="262"/>
      <c r="B532" s="262"/>
      <c r="Q532" s="261"/>
      <c r="R532" s="261"/>
      <c r="AV532" s="260"/>
    </row>
    <row r="533" spans="1:48" ht="15.75" customHeight="1" x14ac:dyDescent="0.95">
      <c r="A533" s="262"/>
      <c r="B533" s="262"/>
      <c r="Q533" s="261"/>
      <c r="R533" s="261"/>
      <c r="AV533" s="260"/>
    </row>
    <row r="534" spans="1:48" ht="15.75" customHeight="1" x14ac:dyDescent="0.95">
      <c r="A534" s="262"/>
      <c r="B534" s="262"/>
      <c r="Q534" s="261"/>
      <c r="R534" s="261"/>
      <c r="AV534" s="260"/>
    </row>
    <row r="535" spans="1:48" ht="15.75" customHeight="1" x14ac:dyDescent="0.95">
      <c r="A535" s="262"/>
      <c r="B535" s="262"/>
      <c r="Q535" s="261"/>
      <c r="R535" s="261"/>
      <c r="AV535" s="260"/>
    </row>
    <row r="536" spans="1:48" ht="15.75" customHeight="1" x14ac:dyDescent="0.95">
      <c r="A536" s="262"/>
      <c r="B536" s="262"/>
      <c r="Q536" s="261"/>
      <c r="R536" s="261"/>
      <c r="AV536" s="260"/>
    </row>
    <row r="537" spans="1:48" ht="15.75" customHeight="1" x14ac:dyDescent="0.95">
      <c r="A537" s="262"/>
      <c r="B537" s="262"/>
      <c r="Q537" s="261"/>
      <c r="R537" s="261"/>
      <c r="AV537" s="260"/>
    </row>
    <row r="538" spans="1:48" ht="15.75" customHeight="1" x14ac:dyDescent="0.95">
      <c r="A538" s="262"/>
      <c r="B538" s="262"/>
      <c r="Q538" s="261"/>
      <c r="R538" s="261"/>
      <c r="AV538" s="260"/>
    </row>
    <row r="539" spans="1:48" ht="15.75" customHeight="1" x14ac:dyDescent="0.95">
      <c r="A539" s="262"/>
      <c r="B539" s="262"/>
      <c r="Q539" s="261"/>
      <c r="R539" s="261"/>
      <c r="AV539" s="260"/>
    </row>
    <row r="540" spans="1:48" ht="15.75" customHeight="1" x14ac:dyDescent="0.95">
      <c r="A540" s="262"/>
      <c r="B540" s="262"/>
      <c r="Q540" s="261"/>
      <c r="R540" s="261"/>
      <c r="AV540" s="260"/>
    </row>
    <row r="541" spans="1:48" ht="15.75" customHeight="1" x14ac:dyDescent="0.95">
      <c r="A541" s="262"/>
      <c r="B541" s="262"/>
      <c r="Q541" s="261"/>
      <c r="R541" s="261"/>
      <c r="AV541" s="260"/>
    </row>
    <row r="542" spans="1:48" ht="15.75" customHeight="1" x14ac:dyDescent="0.95">
      <c r="A542" s="262"/>
      <c r="B542" s="262"/>
      <c r="Q542" s="261"/>
      <c r="R542" s="261"/>
      <c r="AV542" s="260"/>
    </row>
    <row r="543" spans="1:48" ht="15.75" customHeight="1" x14ac:dyDescent="0.95">
      <c r="A543" s="262"/>
      <c r="B543" s="262"/>
      <c r="Q543" s="261"/>
      <c r="R543" s="261"/>
      <c r="AV543" s="260"/>
    </row>
    <row r="544" spans="1:48" ht="15.75" customHeight="1" x14ac:dyDescent="0.95">
      <c r="A544" s="262"/>
      <c r="B544" s="262"/>
      <c r="Q544" s="261"/>
      <c r="R544" s="261"/>
      <c r="AV544" s="260"/>
    </row>
    <row r="545" spans="1:48" ht="15.75" customHeight="1" x14ac:dyDescent="0.95">
      <c r="A545" s="262"/>
      <c r="B545" s="262"/>
      <c r="Q545" s="261"/>
      <c r="R545" s="261"/>
      <c r="AV545" s="260"/>
    </row>
    <row r="546" spans="1:48" ht="15.75" customHeight="1" x14ac:dyDescent="0.95">
      <c r="A546" s="262"/>
      <c r="B546" s="262"/>
      <c r="Q546" s="261"/>
      <c r="R546" s="261"/>
      <c r="AV546" s="260"/>
    </row>
    <row r="547" spans="1:48" ht="15.75" customHeight="1" x14ac:dyDescent="0.95">
      <c r="A547" s="262"/>
      <c r="B547" s="262"/>
      <c r="Q547" s="261"/>
      <c r="R547" s="261"/>
      <c r="AV547" s="260"/>
    </row>
    <row r="548" spans="1:48" ht="15.75" customHeight="1" x14ac:dyDescent="0.95">
      <c r="A548" s="262"/>
      <c r="B548" s="262"/>
      <c r="Q548" s="261"/>
      <c r="R548" s="261"/>
      <c r="AV548" s="260"/>
    </row>
    <row r="549" spans="1:48" ht="15.75" customHeight="1" x14ac:dyDescent="0.95">
      <c r="A549" s="262"/>
      <c r="B549" s="262"/>
      <c r="Q549" s="261"/>
      <c r="R549" s="261"/>
      <c r="AV549" s="260"/>
    </row>
    <row r="550" spans="1:48" ht="15.75" customHeight="1" x14ac:dyDescent="0.95">
      <c r="A550" s="262"/>
      <c r="B550" s="262"/>
      <c r="Q550" s="261"/>
      <c r="R550" s="261"/>
      <c r="AV550" s="260"/>
    </row>
    <row r="551" spans="1:48" ht="15.75" customHeight="1" x14ac:dyDescent="0.95">
      <c r="A551" s="262"/>
      <c r="B551" s="262"/>
      <c r="Q551" s="261"/>
      <c r="R551" s="261"/>
      <c r="AV551" s="260"/>
    </row>
    <row r="552" spans="1:48" ht="15.75" customHeight="1" x14ac:dyDescent="0.95">
      <c r="A552" s="262"/>
      <c r="B552" s="262"/>
      <c r="Q552" s="261"/>
      <c r="R552" s="261"/>
      <c r="AV552" s="260"/>
    </row>
    <row r="553" spans="1:48" ht="15.75" customHeight="1" x14ac:dyDescent="0.95">
      <c r="A553" s="262"/>
      <c r="B553" s="262"/>
      <c r="Q553" s="261"/>
      <c r="R553" s="261"/>
      <c r="AV553" s="260"/>
    </row>
    <row r="554" spans="1:48" ht="15.75" customHeight="1" x14ac:dyDescent="0.95">
      <c r="A554" s="262"/>
      <c r="B554" s="262"/>
      <c r="Q554" s="261"/>
      <c r="R554" s="261"/>
      <c r="AV554" s="260"/>
    </row>
    <row r="555" spans="1:48" ht="15.75" customHeight="1" x14ac:dyDescent="0.95">
      <c r="A555" s="262"/>
      <c r="B555" s="262"/>
      <c r="Q555" s="261"/>
      <c r="R555" s="261"/>
      <c r="AV555" s="260"/>
    </row>
    <row r="556" spans="1:48" ht="15.75" customHeight="1" x14ac:dyDescent="0.95">
      <c r="A556" s="262"/>
      <c r="B556" s="262"/>
      <c r="Q556" s="261"/>
      <c r="R556" s="261"/>
      <c r="AV556" s="260"/>
    </row>
    <row r="557" spans="1:48" ht="15.75" customHeight="1" x14ac:dyDescent="0.95">
      <c r="A557" s="262"/>
      <c r="B557" s="262"/>
      <c r="Q557" s="261"/>
      <c r="R557" s="261"/>
      <c r="AV557" s="260"/>
    </row>
    <row r="558" spans="1:48" ht="15.75" customHeight="1" x14ac:dyDescent="0.95">
      <c r="A558" s="262"/>
      <c r="B558" s="262"/>
      <c r="Q558" s="261"/>
      <c r="R558" s="261"/>
      <c r="AV558" s="260"/>
    </row>
    <row r="559" spans="1:48" ht="15.75" customHeight="1" x14ac:dyDescent="0.95">
      <c r="A559" s="262"/>
      <c r="B559" s="262"/>
      <c r="Q559" s="261"/>
      <c r="R559" s="261"/>
      <c r="AV559" s="260"/>
    </row>
    <row r="560" spans="1:48" ht="15.75" customHeight="1" x14ac:dyDescent="0.95">
      <c r="A560" s="262"/>
      <c r="B560" s="262"/>
      <c r="Q560" s="261"/>
      <c r="R560" s="261"/>
      <c r="AV560" s="260"/>
    </row>
    <row r="561" spans="1:48" ht="15.75" customHeight="1" x14ac:dyDescent="0.95">
      <c r="A561" s="262"/>
      <c r="B561" s="262"/>
      <c r="Q561" s="261"/>
      <c r="R561" s="261"/>
      <c r="AV561" s="260"/>
    </row>
    <row r="562" spans="1:48" ht="15.75" customHeight="1" x14ac:dyDescent="0.95">
      <c r="A562" s="262"/>
      <c r="B562" s="262"/>
      <c r="Q562" s="261"/>
      <c r="R562" s="261"/>
      <c r="AV562" s="260"/>
    </row>
    <row r="563" spans="1:48" ht="15.75" customHeight="1" x14ac:dyDescent="0.95">
      <c r="A563" s="262"/>
      <c r="B563" s="262"/>
      <c r="Q563" s="261"/>
      <c r="R563" s="261"/>
      <c r="AV563" s="260"/>
    </row>
    <row r="564" spans="1:48" ht="15.75" customHeight="1" x14ac:dyDescent="0.95">
      <c r="A564" s="262"/>
      <c r="B564" s="262"/>
      <c r="Q564" s="261"/>
      <c r="R564" s="261"/>
      <c r="AV564" s="260"/>
    </row>
    <row r="565" spans="1:48" ht="15.75" customHeight="1" x14ac:dyDescent="0.95">
      <c r="A565" s="262"/>
      <c r="B565" s="262"/>
      <c r="Q565" s="261"/>
      <c r="R565" s="261"/>
      <c r="AV565" s="260"/>
    </row>
    <row r="566" spans="1:48" ht="15.75" customHeight="1" x14ac:dyDescent="0.95">
      <c r="A566" s="262"/>
      <c r="B566" s="262"/>
      <c r="Q566" s="261"/>
      <c r="R566" s="261"/>
      <c r="AV566" s="260"/>
    </row>
    <row r="567" spans="1:48" ht="15.75" customHeight="1" x14ac:dyDescent="0.95">
      <c r="A567" s="262"/>
      <c r="B567" s="262"/>
      <c r="Q567" s="261"/>
      <c r="R567" s="261"/>
      <c r="AV567" s="260"/>
    </row>
    <row r="568" spans="1:48" ht="15.75" customHeight="1" x14ac:dyDescent="0.95">
      <c r="A568" s="262"/>
      <c r="B568" s="262"/>
      <c r="Q568" s="261"/>
      <c r="R568" s="261"/>
      <c r="AV568" s="260"/>
    </row>
    <row r="569" spans="1:48" ht="15.75" customHeight="1" x14ac:dyDescent="0.95">
      <c r="A569" s="262"/>
      <c r="B569" s="262"/>
      <c r="Q569" s="261"/>
      <c r="R569" s="261"/>
      <c r="AV569" s="260"/>
    </row>
    <row r="570" spans="1:48" ht="15.75" customHeight="1" x14ac:dyDescent="0.95">
      <c r="A570" s="262"/>
      <c r="B570" s="262"/>
      <c r="Q570" s="261"/>
      <c r="R570" s="261"/>
      <c r="AV570" s="260"/>
    </row>
    <row r="571" spans="1:48" ht="15.75" customHeight="1" x14ac:dyDescent="0.95">
      <c r="A571" s="262"/>
      <c r="B571" s="262"/>
      <c r="Q571" s="261"/>
      <c r="R571" s="261"/>
      <c r="AV571" s="260"/>
    </row>
    <row r="572" spans="1:48" ht="15.75" customHeight="1" x14ac:dyDescent="0.95">
      <c r="A572" s="262"/>
      <c r="B572" s="262"/>
      <c r="Q572" s="261"/>
      <c r="R572" s="261"/>
      <c r="AV572" s="260"/>
    </row>
    <row r="573" spans="1:48" ht="15.75" customHeight="1" x14ac:dyDescent="0.95">
      <c r="A573" s="262"/>
      <c r="B573" s="262"/>
      <c r="Q573" s="261"/>
      <c r="R573" s="261"/>
      <c r="AV573" s="260"/>
    </row>
    <row r="574" spans="1:48" ht="15.75" customHeight="1" x14ac:dyDescent="0.95">
      <c r="A574" s="262"/>
      <c r="B574" s="262"/>
      <c r="Q574" s="261"/>
      <c r="R574" s="261"/>
      <c r="AV574" s="260"/>
    </row>
    <row r="575" spans="1:48" ht="15.75" customHeight="1" x14ac:dyDescent="0.95">
      <c r="A575" s="262"/>
      <c r="B575" s="262"/>
      <c r="Q575" s="261"/>
      <c r="R575" s="261"/>
      <c r="AV575" s="260"/>
    </row>
    <row r="576" spans="1:48" ht="15.75" customHeight="1" x14ac:dyDescent="0.95">
      <c r="A576" s="262"/>
      <c r="B576" s="262"/>
      <c r="Q576" s="261"/>
      <c r="R576" s="261"/>
      <c r="AV576" s="260"/>
    </row>
    <row r="577" spans="1:48" ht="15.75" customHeight="1" x14ac:dyDescent="0.95">
      <c r="A577" s="262"/>
      <c r="B577" s="262"/>
      <c r="Q577" s="261"/>
      <c r="R577" s="261"/>
      <c r="AV577" s="260"/>
    </row>
    <row r="578" spans="1:48" ht="15.75" customHeight="1" x14ac:dyDescent="0.95">
      <c r="A578" s="262"/>
      <c r="B578" s="262"/>
      <c r="Q578" s="261"/>
      <c r="R578" s="261"/>
      <c r="AV578" s="260"/>
    </row>
    <row r="579" spans="1:48" ht="15.75" customHeight="1" x14ac:dyDescent="0.95">
      <c r="A579" s="262"/>
      <c r="B579" s="262"/>
      <c r="Q579" s="261"/>
      <c r="R579" s="261"/>
      <c r="AV579" s="260"/>
    </row>
    <row r="580" spans="1:48" ht="15.75" customHeight="1" x14ac:dyDescent="0.95">
      <c r="A580" s="262"/>
      <c r="B580" s="262"/>
      <c r="Q580" s="261"/>
      <c r="R580" s="261"/>
      <c r="AV580" s="260"/>
    </row>
    <row r="581" spans="1:48" ht="15.75" customHeight="1" x14ac:dyDescent="0.95">
      <c r="A581" s="262"/>
      <c r="B581" s="262"/>
      <c r="Q581" s="261"/>
      <c r="R581" s="261"/>
      <c r="AV581" s="260"/>
    </row>
    <row r="582" spans="1:48" ht="15.75" customHeight="1" x14ac:dyDescent="0.95">
      <c r="A582" s="262"/>
      <c r="B582" s="262"/>
      <c r="Q582" s="261"/>
      <c r="R582" s="261"/>
      <c r="AV582" s="260"/>
    </row>
    <row r="583" spans="1:48" ht="15.75" customHeight="1" x14ac:dyDescent="0.95">
      <c r="A583" s="262"/>
      <c r="B583" s="262"/>
      <c r="Q583" s="261"/>
      <c r="R583" s="261"/>
      <c r="AV583" s="260"/>
    </row>
    <row r="584" spans="1:48" ht="15.75" customHeight="1" x14ac:dyDescent="0.95">
      <c r="A584" s="262"/>
      <c r="B584" s="262"/>
      <c r="Q584" s="261"/>
      <c r="R584" s="261"/>
      <c r="AV584" s="260"/>
    </row>
    <row r="585" spans="1:48" ht="15.75" customHeight="1" x14ac:dyDescent="0.95">
      <c r="A585" s="262"/>
      <c r="B585" s="262"/>
      <c r="Q585" s="261"/>
      <c r="R585" s="261"/>
      <c r="AV585" s="260"/>
    </row>
    <row r="586" spans="1:48" ht="15.75" customHeight="1" x14ac:dyDescent="0.95">
      <c r="A586" s="262"/>
      <c r="B586" s="262"/>
      <c r="Q586" s="261"/>
      <c r="R586" s="261"/>
      <c r="AV586" s="260"/>
    </row>
    <row r="587" spans="1:48" ht="15.75" customHeight="1" x14ac:dyDescent="0.95">
      <c r="A587" s="262"/>
      <c r="B587" s="262"/>
      <c r="Q587" s="261"/>
      <c r="R587" s="261"/>
      <c r="AV587" s="260"/>
    </row>
    <row r="588" spans="1:48" ht="15.75" customHeight="1" x14ac:dyDescent="0.95">
      <c r="A588" s="262"/>
      <c r="B588" s="262"/>
      <c r="Q588" s="261"/>
      <c r="R588" s="261"/>
      <c r="AV588" s="260"/>
    </row>
    <row r="589" spans="1:48" ht="15.75" customHeight="1" x14ac:dyDescent="0.95">
      <c r="A589" s="262"/>
      <c r="B589" s="262"/>
      <c r="Q589" s="261"/>
      <c r="R589" s="261"/>
      <c r="AV589" s="260"/>
    </row>
    <row r="590" spans="1:48" ht="15.75" customHeight="1" x14ac:dyDescent="0.95">
      <c r="A590" s="262"/>
      <c r="B590" s="262"/>
      <c r="Q590" s="261"/>
      <c r="R590" s="261"/>
      <c r="AV590" s="260"/>
    </row>
    <row r="591" spans="1:48" ht="15.75" customHeight="1" x14ac:dyDescent="0.95">
      <c r="A591" s="262"/>
      <c r="B591" s="262"/>
      <c r="Q591" s="261"/>
      <c r="R591" s="261"/>
      <c r="AV591" s="260"/>
    </row>
    <row r="592" spans="1:48" ht="15.75" customHeight="1" x14ac:dyDescent="0.95">
      <c r="A592" s="262"/>
      <c r="B592" s="262"/>
      <c r="Q592" s="261"/>
      <c r="R592" s="261"/>
      <c r="AV592" s="260"/>
    </row>
    <row r="593" spans="1:48" ht="15.75" customHeight="1" x14ac:dyDescent="0.95">
      <c r="A593" s="262"/>
      <c r="B593" s="262"/>
      <c r="Q593" s="261"/>
      <c r="R593" s="261"/>
      <c r="AV593" s="260"/>
    </row>
    <row r="594" spans="1:48" ht="15.75" customHeight="1" x14ac:dyDescent="0.95">
      <c r="A594" s="262"/>
      <c r="B594" s="262"/>
      <c r="Q594" s="261"/>
      <c r="R594" s="261"/>
      <c r="AV594" s="260"/>
    </row>
    <row r="595" spans="1:48" ht="15.75" customHeight="1" x14ac:dyDescent="0.95">
      <c r="A595" s="262"/>
      <c r="B595" s="262"/>
      <c r="Q595" s="261"/>
      <c r="R595" s="261"/>
      <c r="AV595" s="260"/>
    </row>
    <row r="596" spans="1:48" ht="15.75" customHeight="1" x14ac:dyDescent="0.95">
      <c r="A596" s="262"/>
      <c r="B596" s="262"/>
      <c r="Q596" s="261"/>
      <c r="R596" s="261"/>
      <c r="AV596" s="260"/>
    </row>
    <row r="597" spans="1:48" ht="15.75" customHeight="1" x14ac:dyDescent="0.95">
      <c r="A597" s="262"/>
      <c r="B597" s="262"/>
      <c r="Q597" s="261"/>
      <c r="R597" s="261"/>
      <c r="AV597" s="260"/>
    </row>
    <row r="598" spans="1:48" ht="15.75" customHeight="1" x14ac:dyDescent="0.95">
      <c r="A598" s="262"/>
      <c r="B598" s="262"/>
      <c r="Q598" s="261"/>
      <c r="R598" s="261"/>
      <c r="AV598" s="260"/>
    </row>
    <row r="599" spans="1:48" ht="15.75" customHeight="1" x14ac:dyDescent="0.95">
      <c r="A599" s="262"/>
      <c r="B599" s="262"/>
      <c r="Q599" s="261"/>
      <c r="R599" s="261"/>
      <c r="AV599" s="260"/>
    </row>
    <row r="600" spans="1:48" ht="15.75" customHeight="1" x14ac:dyDescent="0.95">
      <c r="A600" s="262"/>
      <c r="B600" s="262"/>
      <c r="Q600" s="261"/>
      <c r="R600" s="261"/>
      <c r="AV600" s="260"/>
    </row>
    <row r="601" spans="1:48" ht="15.75" customHeight="1" x14ac:dyDescent="0.95">
      <c r="A601" s="262"/>
      <c r="B601" s="262"/>
      <c r="Q601" s="261"/>
      <c r="R601" s="261"/>
      <c r="AV601" s="260"/>
    </row>
    <row r="602" spans="1:48" ht="15.75" customHeight="1" x14ac:dyDescent="0.95">
      <c r="A602" s="262"/>
      <c r="B602" s="262"/>
      <c r="Q602" s="261"/>
      <c r="R602" s="261"/>
      <c r="AV602" s="260"/>
    </row>
    <row r="603" spans="1:48" ht="15.75" customHeight="1" x14ac:dyDescent="0.95">
      <c r="A603" s="262"/>
      <c r="B603" s="262"/>
      <c r="Q603" s="261"/>
      <c r="R603" s="261"/>
      <c r="AV603" s="260"/>
    </row>
    <row r="604" spans="1:48" ht="15.75" customHeight="1" x14ac:dyDescent="0.95">
      <c r="A604" s="262"/>
      <c r="B604" s="262"/>
      <c r="Q604" s="261"/>
      <c r="R604" s="261"/>
      <c r="AV604" s="260"/>
    </row>
    <row r="605" spans="1:48" ht="15.75" customHeight="1" x14ac:dyDescent="0.95">
      <c r="A605" s="262"/>
      <c r="B605" s="262"/>
      <c r="Q605" s="261"/>
      <c r="R605" s="261"/>
      <c r="AV605" s="260"/>
    </row>
    <row r="606" spans="1:48" ht="15.75" customHeight="1" x14ac:dyDescent="0.95">
      <c r="A606" s="262"/>
      <c r="B606" s="262"/>
      <c r="Q606" s="261"/>
      <c r="R606" s="261"/>
      <c r="AV606" s="260"/>
    </row>
    <row r="607" spans="1:48" ht="15.75" customHeight="1" x14ac:dyDescent="0.95">
      <c r="A607" s="262"/>
      <c r="B607" s="262"/>
      <c r="Q607" s="261"/>
      <c r="R607" s="261"/>
      <c r="AV607" s="260"/>
    </row>
    <row r="608" spans="1:48" ht="15.75" customHeight="1" x14ac:dyDescent="0.95">
      <c r="A608" s="262"/>
      <c r="B608" s="262"/>
      <c r="Q608" s="261"/>
      <c r="R608" s="261"/>
      <c r="AV608" s="260"/>
    </row>
    <row r="609" spans="1:48" ht="15.75" customHeight="1" x14ac:dyDescent="0.95">
      <c r="A609" s="262"/>
      <c r="B609" s="262"/>
      <c r="Q609" s="261"/>
      <c r="R609" s="261"/>
      <c r="AV609" s="260"/>
    </row>
    <row r="610" spans="1:48" ht="15.75" customHeight="1" x14ac:dyDescent="0.95">
      <c r="A610" s="262"/>
      <c r="B610" s="262"/>
      <c r="Q610" s="261"/>
      <c r="R610" s="261"/>
      <c r="AV610" s="260"/>
    </row>
    <row r="611" spans="1:48" ht="15.75" customHeight="1" x14ac:dyDescent="0.95">
      <c r="A611" s="262"/>
      <c r="B611" s="262"/>
      <c r="Q611" s="261"/>
      <c r="R611" s="261"/>
      <c r="AV611" s="260"/>
    </row>
    <row r="612" spans="1:48" ht="15.75" customHeight="1" x14ac:dyDescent="0.95">
      <c r="A612" s="262"/>
      <c r="B612" s="262"/>
      <c r="Q612" s="261"/>
      <c r="R612" s="261"/>
      <c r="AV612" s="260"/>
    </row>
    <row r="613" spans="1:48" ht="15.75" customHeight="1" x14ac:dyDescent="0.95">
      <c r="A613" s="262"/>
      <c r="B613" s="262"/>
      <c r="Q613" s="261"/>
      <c r="R613" s="261"/>
      <c r="AV613" s="260"/>
    </row>
    <row r="614" spans="1:48" ht="15.75" customHeight="1" x14ac:dyDescent="0.95">
      <c r="A614" s="262"/>
      <c r="B614" s="262"/>
      <c r="Q614" s="261"/>
      <c r="R614" s="261"/>
      <c r="AV614" s="260"/>
    </row>
    <row r="615" spans="1:48" ht="15.75" customHeight="1" x14ac:dyDescent="0.95">
      <c r="A615" s="262"/>
      <c r="B615" s="262"/>
      <c r="Q615" s="261"/>
      <c r="R615" s="261"/>
      <c r="AV615" s="260"/>
    </row>
    <row r="616" spans="1:48" ht="15.75" customHeight="1" x14ac:dyDescent="0.95">
      <c r="A616" s="262"/>
      <c r="B616" s="262"/>
      <c r="Q616" s="261"/>
      <c r="R616" s="261"/>
      <c r="AV616" s="260"/>
    </row>
    <row r="617" spans="1:48" ht="15.75" customHeight="1" x14ac:dyDescent="0.95">
      <c r="A617" s="262"/>
      <c r="B617" s="262"/>
      <c r="Q617" s="261"/>
      <c r="R617" s="261"/>
      <c r="AV617" s="260"/>
    </row>
    <row r="618" spans="1:48" ht="15.75" customHeight="1" x14ac:dyDescent="0.95">
      <c r="A618" s="262"/>
      <c r="B618" s="262"/>
      <c r="Q618" s="261"/>
      <c r="R618" s="261"/>
      <c r="AV618" s="260"/>
    </row>
    <row r="619" spans="1:48" ht="15.75" customHeight="1" x14ac:dyDescent="0.95">
      <c r="A619" s="262"/>
      <c r="B619" s="262"/>
      <c r="Q619" s="261"/>
      <c r="R619" s="261"/>
      <c r="AV619" s="260"/>
    </row>
    <row r="620" spans="1:48" ht="15.75" customHeight="1" x14ac:dyDescent="0.95">
      <c r="A620" s="262"/>
      <c r="B620" s="262"/>
      <c r="Q620" s="261"/>
      <c r="R620" s="261"/>
      <c r="AV620" s="260"/>
    </row>
    <row r="621" spans="1:48" ht="15.75" customHeight="1" x14ac:dyDescent="0.95">
      <c r="A621" s="262"/>
      <c r="B621" s="262"/>
      <c r="Q621" s="261"/>
      <c r="R621" s="261"/>
      <c r="AV621" s="260"/>
    </row>
    <row r="622" spans="1:48" ht="15.75" customHeight="1" x14ac:dyDescent="0.95">
      <c r="A622" s="262"/>
      <c r="B622" s="262"/>
      <c r="Q622" s="261"/>
      <c r="R622" s="261"/>
      <c r="AV622" s="260"/>
    </row>
    <row r="623" spans="1:48" ht="15.75" customHeight="1" x14ac:dyDescent="0.95">
      <c r="A623" s="262"/>
      <c r="B623" s="262"/>
      <c r="Q623" s="261"/>
      <c r="R623" s="261"/>
      <c r="AV623" s="260"/>
    </row>
    <row r="624" spans="1:48" ht="15.75" customHeight="1" x14ac:dyDescent="0.95">
      <c r="A624" s="262"/>
      <c r="B624" s="262"/>
      <c r="Q624" s="261"/>
      <c r="R624" s="261"/>
      <c r="AV624" s="260"/>
    </row>
    <row r="625" spans="1:48" ht="15.75" customHeight="1" x14ac:dyDescent="0.95">
      <c r="A625" s="262"/>
      <c r="B625" s="262"/>
      <c r="Q625" s="261"/>
      <c r="R625" s="261"/>
      <c r="AV625" s="260"/>
    </row>
    <row r="626" spans="1:48" ht="15.75" customHeight="1" x14ac:dyDescent="0.95">
      <c r="A626" s="262"/>
      <c r="B626" s="262"/>
      <c r="Q626" s="261"/>
      <c r="R626" s="261"/>
      <c r="AV626" s="260"/>
    </row>
    <row r="627" spans="1:48" ht="15.75" customHeight="1" x14ac:dyDescent="0.95">
      <c r="A627" s="262"/>
      <c r="B627" s="262"/>
      <c r="Q627" s="261"/>
      <c r="R627" s="261"/>
      <c r="AV627" s="260"/>
    </row>
    <row r="628" spans="1:48" ht="15.75" customHeight="1" x14ac:dyDescent="0.95">
      <c r="A628" s="262"/>
      <c r="B628" s="262"/>
      <c r="Q628" s="261"/>
      <c r="R628" s="261"/>
      <c r="AV628" s="260"/>
    </row>
    <row r="629" spans="1:48" ht="15.75" customHeight="1" x14ac:dyDescent="0.95">
      <c r="A629" s="262"/>
      <c r="B629" s="262"/>
      <c r="Q629" s="261"/>
      <c r="R629" s="261"/>
      <c r="AV629" s="260"/>
    </row>
    <row r="630" spans="1:48" ht="15.75" customHeight="1" x14ac:dyDescent="0.95">
      <c r="A630" s="262"/>
      <c r="B630" s="262"/>
      <c r="Q630" s="261"/>
      <c r="R630" s="261"/>
      <c r="AV630" s="260"/>
    </row>
    <row r="631" spans="1:48" ht="15.75" customHeight="1" x14ac:dyDescent="0.95">
      <c r="A631" s="262"/>
      <c r="B631" s="262"/>
      <c r="Q631" s="261"/>
      <c r="R631" s="261"/>
      <c r="AV631" s="260"/>
    </row>
    <row r="632" spans="1:48" ht="15.75" customHeight="1" x14ac:dyDescent="0.95">
      <c r="A632" s="262"/>
      <c r="B632" s="262"/>
      <c r="Q632" s="261"/>
      <c r="R632" s="261"/>
      <c r="AV632" s="260"/>
    </row>
    <row r="633" spans="1:48" ht="15.75" customHeight="1" x14ac:dyDescent="0.95">
      <c r="A633" s="262"/>
      <c r="B633" s="262"/>
      <c r="Q633" s="261"/>
      <c r="R633" s="261"/>
      <c r="AV633" s="260"/>
    </row>
    <row r="634" spans="1:48" ht="15.75" customHeight="1" x14ac:dyDescent="0.95">
      <c r="A634" s="262"/>
      <c r="B634" s="262"/>
      <c r="Q634" s="261"/>
      <c r="R634" s="261"/>
      <c r="AV634" s="260"/>
    </row>
    <row r="635" spans="1:48" ht="15.75" customHeight="1" x14ac:dyDescent="0.95">
      <c r="A635" s="262"/>
      <c r="B635" s="262"/>
      <c r="Q635" s="261"/>
      <c r="R635" s="261"/>
      <c r="AV635" s="260"/>
    </row>
    <row r="636" spans="1:48" ht="15.75" customHeight="1" x14ac:dyDescent="0.95">
      <c r="A636" s="262"/>
      <c r="B636" s="262"/>
      <c r="Q636" s="261"/>
      <c r="R636" s="261"/>
      <c r="AV636" s="260"/>
    </row>
    <row r="637" spans="1:48" ht="15.75" customHeight="1" x14ac:dyDescent="0.95">
      <c r="A637" s="262"/>
      <c r="B637" s="262"/>
      <c r="Q637" s="261"/>
      <c r="R637" s="261"/>
      <c r="AV637" s="260"/>
    </row>
    <row r="638" spans="1:48" ht="15.75" customHeight="1" x14ac:dyDescent="0.95">
      <c r="A638" s="262"/>
      <c r="B638" s="262"/>
      <c r="Q638" s="261"/>
      <c r="R638" s="261"/>
      <c r="AV638" s="260"/>
    </row>
    <row r="639" spans="1:48" ht="15.75" customHeight="1" x14ac:dyDescent="0.95">
      <c r="A639" s="262"/>
      <c r="B639" s="262"/>
      <c r="Q639" s="261"/>
      <c r="R639" s="261"/>
      <c r="AV639" s="260"/>
    </row>
    <row r="640" spans="1:48" ht="15.75" customHeight="1" x14ac:dyDescent="0.95">
      <c r="A640" s="262"/>
      <c r="B640" s="262"/>
      <c r="Q640" s="261"/>
      <c r="R640" s="261"/>
      <c r="AV640" s="260"/>
    </row>
    <row r="641" spans="1:48" ht="15.75" customHeight="1" x14ac:dyDescent="0.95">
      <c r="A641" s="262"/>
      <c r="B641" s="262"/>
      <c r="Q641" s="261"/>
      <c r="R641" s="261"/>
      <c r="AV641" s="260"/>
    </row>
    <row r="642" spans="1:48" ht="15.75" customHeight="1" x14ac:dyDescent="0.95">
      <c r="A642" s="262"/>
      <c r="B642" s="262"/>
      <c r="Q642" s="261"/>
      <c r="R642" s="261"/>
      <c r="AV642" s="260"/>
    </row>
    <row r="643" spans="1:48" ht="15.75" customHeight="1" x14ac:dyDescent="0.95">
      <c r="A643" s="262"/>
      <c r="B643" s="262"/>
      <c r="Q643" s="261"/>
      <c r="R643" s="261"/>
      <c r="AV643" s="260"/>
    </row>
    <row r="644" spans="1:48" ht="15.75" customHeight="1" x14ac:dyDescent="0.95">
      <c r="A644" s="262"/>
      <c r="B644" s="262"/>
      <c r="Q644" s="261"/>
      <c r="R644" s="261"/>
      <c r="AV644" s="260"/>
    </row>
    <row r="645" spans="1:48" ht="15.75" customHeight="1" x14ac:dyDescent="0.95">
      <c r="A645" s="262"/>
      <c r="B645" s="262"/>
      <c r="Q645" s="261"/>
      <c r="R645" s="261"/>
      <c r="AV645" s="260"/>
    </row>
    <row r="646" spans="1:48" ht="15.75" customHeight="1" x14ac:dyDescent="0.95">
      <c r="A646" s="262"/>
      <c r="B646" s="262"/>
      <c r="Q646" s="261"/>
      <c r="R646" s="261"/>
      <c r="AV646" s="260"/>
    </row>
    <row r="647" spans="1:48" ht="15.75" customHeight="1" x14ac:dyDescent="0.95">
      <c r="A647" s="262"/>
      <c r="B647" s="262"/>
      <c r="Q647" s="261"/>
      <c r="R647" s="261"/>
      <c r="AV647" s="260"/>
    </row>
    <row r="648" spans="1:48" ht="15.75" customHeight="1" x14ac:dyDescent="0.95">
      <c r="A648" s="262"/>
      <c r="B648" s="262"/>
      <c r="Q648" s="261"/>
      <c r="R648" s="261"/>
      <c r="AV648" s="260"/>
    </row>
    <row r="649" spans="1:48" ht="15.75" customHeight="1" x14ac:dyDescent="0.95">
      <c r="A649" s="262"/>
      <c r="B649" s="262"/>
      <c r="Q649" s="261"/>
      <c r="R649" s="261"/>
      <c r="AV649" s="260"/>
    </row>
    <row r="650" spans="1:48" ht="15.75" customHeight="1" x14ac:dyDescent="0.95">
      <c r="A650" s="262"/>
      <c r="B650" s="262"/>
      <c r="Q650" s="261"/>
      <c r="R650" s="261"/>
      <c r="AV650" s="260"/>
    </row>
    <row r="651" spans="1:48" ht="15.75" customHeight="1" x14ac:dyDescent="0.95">
      <c r="A651" s="262"/>
      <c r="B651" s="262"/>
      <c r="Q651" s="261"/>
      <c r="R651" s="261"/>
      <c r="AV651" s="260"/>
    </row>
    <row r="652" spans="1:48" ht="15.75" customHeight="1" x14ac:dyDescent="0.95">
      <c r="A652" s="262"/>
      <c r="B652" s="262"/>
      <c r="Q652" s="261"/>
      <c r="R652" s="261"/>
      <c r="AV652" s="260"/>
    </row>
    <row r="653" spans="1:48" ht="15.75" customHeight="1" x14ac:dyDescent="0.95">
      <c r="A653" s="262"/>
      <c r="B653" s="262"/>
      <c r="Q653" s="261"/>
      <c r="R653" s="261"/>
      <c r="AV653" s="260"/>
    </row>
    <row r="654" spans="1:48" ht="15.75" customHeight="1" x14ac:dyDescent="0.95">
      <c r="A654" s="262"/>
      <c r="B654" s="262"/>
      <c r="Q654" s="261"/>
      <c r="R654" s="261"/>
      <c r="AV654" s="260"/>
    </row>
    <row r="655" spans="1:48" ht="15.75" customHeight="1" x14ac:dyDescent="0.95">
      <c r="A655" s="262"/>
      <c r="B655" s="262"/>
      <c r="Q655" s="261"/>
      <c r="R655" s="261"/>
      <c r="AV655" s="260"/>
    </row>
    <row r="656" spans="1:48" ht="15.75" customHeight="1" x14ac:dyDescent="0.95">
      <c r="A656" s="262"/>
      <c r="B656" s="262"/>
      <c r="Q656" s="261"/>
      <c r="R656" s="261"/>
      <c r="AV656" s="260"/>
    </row>
    <row r="657" spans="1:48" ht="15.75" customHeight="1" x14ac:dyDescent="0.95">
      <c r="A657" s="262"/>
      <c r="B657" s="262"/>
      <c r="Q657" s="261"/>
      <c r="R657" s="261"/>
      <c r="AV657" s="260"/>
    </row>
    <row r="658" spans="1:48" ht="15.75" customHeight="1" x14ac:dyDescent="0.95">
      <c r="A658" s="262"/>
      <c r="B658" s="262"/>
      <c r="Q658" s="261"/>
      <c r="R658" s="261"/>
      <c r="AV658" s="260"/>
    </row>
    <row r="659" spans="1:48" ht="15.75" customHeight="1" x14ac:dyDescent="0.95">
      <c r="A659" s="262"/>
      <c r="B659" s="262"/>
      <c r="Q659" s="261"/>
      <c r="R659" s="261"/>
      <c r="AV659" s="260"/>
    </row>
    <row r="660" spans="1:48" ht="15.75" customHeight="1" x14ac:dyDescent="0.95">
      <c r="A660" s="262"/>
      <c r="B660" s="262"/>
      <c r="Q660" s="261"/>
      <c r="R660" s="261"/>
      <c r="AV660" s="260"/>
    </row>
    <row r="661" spans="1:48" ht="15.75" customHeight="1" x14ac:dyDescent="0.95">
      <c r="A661" s="262"/>
      <c r="B661" s="262"/>
      <c r="Q661" s="261"/>
      <c r="R661" s="261"/>
      <c r="AV661" s="260"/>
    </row>
    <row r="662" spans="1:48" ht="15.75" customHeight="1" x14ac:dyDescent="0.95">
      <c r="A662" s="262"/>
      <c r="B662" s="262"/>
      <c r="Q662" s="261"/>
      <c r="R662" s="261"/>
      <c r="AV662" s="260"/>
    </row>
    <row r="663" spans="1:48" ht="15.75" customHeight="1" x14ac:dyDescent="0.95">
      <c r="A663" s="262"/>
      <c r="B663" s="262"/>
      <c r="Q663" s="261"/>
      <c r="R663" s="261"/>
      <c r="AV663" s="260"/>
    </row>
    <row r="664" spans="1:48" ht="15.75" customHeight="1" x14ac:dyDescent="0.95">
      <c r="A664" s="262"/>
      <c r="B664" s="262"/>
      <c r="Q664" s="261"/>
      <c r="R664" s="261"/>
      <c r="AV664" s="260"/>
    </row>
    <row r="665" spans="1:48" ht="15.75" customHeight="1" x14ac:dyDescent="0.95">
      <c r="A665" s="262"/>
      <c r="B665" s="262"/>
      <c r="Q665" s="261"/>
      <c r="R665" s="261"/>
      <c r="AV665" s="260"/>
    </row>
    <row r="666" spans="1:48" ht="15.75" customHeight="1" x14ac:dyDescent="0.95">
      <c r="A666" s="262"/>
      <c r="B666" s="262"/>
      <c r="Q666" s="261"/>
      <c r="R666" s="261"/>
      <c r="AV666" s="260"/>
    </row>
    <row r="667" spans="1:48" ht="15.75" customHeight="1" x14ac:dyDescent="0.95">
      <c r="A667" s="262"/>
      <c r="B667" s="262"/>
      <c r="Q667" s="261"/>
      <c r="R667" s="261"/>
      <c r="AV667" s="260"/>
    </row>
    <row r="668" spans="1:48" ht="15.75" customHeight="1" x14ac:dyDescent="0.95">
      <c r="A668" s="262"/>
      <c r="B668" s="262"/>
      <c r="Q668" s="261"/>
      <c r="R668" s="261"/>
      <c r="AV668" s="260"/>
    </row>
    <row r="669" spans="1:48" ht="15.75" customHeight="1" x14ac:dyDescent="0.95">
      <c r="A669" s="262"/>
      <c r="B669" s="262"/>
      <c r="Q669" s="261"/>
      <c r="R669" s="261"/>
      <c r="AV669" s="260"/>
    </row>
    <row r="670" spans="1:48" ht="15.75" customHeight="1" x14ac:dyDescent="0.95">
      <c r="A670" s="262"/>
      <c r="B670" s="262"/>
      <c r="Q670" s="261"/>
      <c r="R670" s="261"/>
      <c r="AV670" s="260"/>
    </row>
    <row r="671" spans="1:48" ht="15.75" customHeight="1" x14ac:dyDescent="0.95">
      <c r="A671" s="262"/>
      <c r="B671" s="262"/>
      <c r="Q671" s="261"/>
      <c r="R671" s="261"/>
      <c r="AV671" s="260"/>
    </row>
    <row r="672" spans="1:48" ht="15.75" customHeight="1" x14ac:dyDescent="0.95">
      <c r="A672" s="262"/>
      <c r="B672" s="262"/>
      <c r="Q672" s="261"/>
      <c r="R672" s="261"/>
      <c r="AV672" s="260"/>
    </row>
    <row r="673" spans="1:48" ht="15.75" customHeight="1" x14ac:dyDescent="0.95">
      <c r="A673" s="262"/>
      <c r="B673" s="262"/>
      <c r="Q673" s="261"/>
      <c r="R673" s="261"/>
      <c r="AV673" s="260"/>
    </row>
    <row r="674" spans="1:48" ht="15.75" customHeight="1" x14ac:dyDescent="0.95">
      <c r="A674" s="262"/>
      <c r="B674" s="262"/>
      <c r="Q674" s="261"/>
      <c r="R674" s="261"/>
      <c r="AV674" s="260"/>
    </row>
    <row r="675" spans="1:48" ht="15.75" customHeight="1" x14ac:dyDescent="0.95">
      <c r="A675" s="262"/>
      <c r="B675" s="262"/>
      <c r="Q675" s="261"/>
      <c r="R675" s="261"/>
      <c r="AV675" s="260"/>
    </row>
    <row r="676" spans="1:48" ht="15.75" customHeight="1" x14ac:dyDescent="0.95">
      <c r="A676" s="262"/>
      <c r="B676" s="262"/>
      <c r="Q676" s="261"/>
      <c r="R676" s="261"/>
      <c r="AV676" s="260"/>
    </row>
    <row r="677" spans="1:48" ht="15.75" customHeight="1" x14ac:dyDescent="0.95">
      <c r="A677" s="262"/>
      <c r="B677" s="262"/>
      <c r="Q677" s="261"/>
      <c r="R677" s="261"/>
      <c r="AV677" s="260"/>
    </row>
    <row r="678" spans="1:48" ht="15.75" customHeight="1" x14ac:dyDescent="0.95">
      <c r="A678" s="262"/>
      <c r="B678" s="262"/>
      <c r="Q678" s="261"/>
      <c r="R678" s="261"/>
      <c r="AV678" s="260"/>
    </row>
    <row r="679" spans="1:48" ht="15.75" customHeight="1" x14ac:dyDescent="0.95">
      <c r="A679" s="262"/>
      <c r="B679" s="262"/>
      <c r="Q679" s="261"/>
      <c r="R679" s="261"/>
      <c r="AV679" s="260"/>
    </row>
    <row r="680" spans="1:48" ht="15.75" customHeight="1" x14ac:dyDescent="0.95">
      <c r="A680" s="262"/>
      <c r="B680" s="262"/>
      <c r="Q680" s="261"/>
      <c r="R680" s="261"/>
      <c r="AV680" s="260"/>
    </row>
    <row r="681" spans="1:48" ht="15.75" customHeight="1" x14ac:dyDescent="0.95">
      <c r="A681" s="262"/>
      <c r="B681" s="262"/>
      <c r="Q681" s="261"/>
      <c r="R681" s="261"/>
      <c r="AV681" s="260"/>
    </row>
    <row r="682" spans="1:48" ht="15.75" customHeight="1" x14ac:dyDescent="0.95">
      <c r="A682" s="262"/>
      <c r="B682" s="262"/>
      <c r="Q682" s="261"/>
      <c r="R682" s="261"/>
      <c r="AV682" s="260"/>
    </row>
    <row r="683" spans="1:48" ht="15.75" customHeight="1" x14ac:dyDescent="0.95">
      <c r="A683" s="262"/>
      <c r="B683" s="262"/>
      <c r="Q683" s="261"/>
      <c r="R683" s="261"/>
      <c r="AV683" s="260"/>
    </row>
    <row r="684" spans="1:48" ht="15.75" customHeight="1" x14ac:dyDescent="0.95">
      <c r="A684" s="262"/>
      <c r="B684" s="262"/>
      <c r="Q684" s="261"/>
      <c r="R684" s="261"/>
      <c r="AV684" s="260"/>
    </row>
    <row r="685" spans="1:48" ht="15.75" customHeight="1" x14ac:dyDescent="0.95">
      <c r="A685" s="262"/>
      <c r="B685" s="262"/>
      <c r="Q685" s="261"/>
      <c r="R685" s="261"/>
      <c r="AV685" s="260"/>
    </row>
    <row r="686" spans="1:48" ht="15.75" customHeight="1" x14ac:dyDescent="0.95">
      <c r="A686" s="262"/>
      <c r="B686" s="262"/>
      <c r="Q686" s="261"/>
      <c r="R686" s="261"/>
      <c r="AV686" s="260"/>
    </row>
    <row r="687" spans="1:48" ht="15.75" customHeight="1" x14ac:dyDescent="0.95">
      <c r="A687" s="262"/>
      <c r="B687" s="262"/>
      <c r="Q687" s="261"/>
      <c r="R687" s="261"/>
      <c r="AV687" s="260"/>
    </row>
    <row r="688" spans="1:48" ht="15.75" customHeight="1" x14ac:dyDescent="0.95">
      <c r="A688" s="262"/>
      <c r="B688" s="262"/>
      <c r="Q688" s="261"/>
      <c r="R688" s="261"/>
      <c r="AV688" s="260"/>
    </row>
    <row r="689" spans="1:48" ht="15.75" customHeight="1" x14ac:dyDescent="0.95">
      <c r="A689" s="262"/>
      <c r="B689" s="262"/>
      <c r="Q689" s="261"/>
      <c r="R689" s="261"/>
      <c r="AV689" s="260"/>
    </row>
    <row r="690" spans="1:48" ht="15.75" customHeight="1" x14ac:dyDescent="0.95">
      <c r="A690" s="262"/>
      <c r="B690" s="262"/>
      <c r="Q690" s="261"/>
      <c r="R690" s="261"/>
      <c r="AV690" s="260"/>
    </row>
    <row r="691" spans="1:48" ht="15.75" customHeight="1" x14ac:dyDescent="0.95">
      <c r="A691" s="262"/>
      <c r="B691" s="262"/>
      <c r="Q691" s="261"/>
      <c r="R691" s="261"/>
      <c r="AV691" s="260"/>
    </row>
    <row r="692" spans="1:48" ht="15.75" customHeight="1" x14ac:dyDescent="0.95">
      <c r="A692" s="262"/>
      <c r="B692" s="262"/>
      <c r="Q692" s="261"/>
      <c r="R692" s="261"/>
      <c r="AV692" s="260"/>
    </row>
    <row r="693" spans="1:48" ht="15.75" customHeight="1" x14ac:dyDescent="0.95">
      <c r="A693" s="262"/>
      <c r="B693" s="262"/>
      <c r="Q693" s="261"/>
      <c r="R693" s="261"/>
      <c r="AV693" s="260"/>
    </row>
    <row r="694" spans="1:48" ht="15.75" customHeight="1" x14ac:dyDescent="0.95">
      <c r="A694" s="262"/>
      <c r="B694" s="262"/>
      <c r="Q694" s="261"/>
      <c r="R694" s="261"/>
      <c r="AV694" s="260"/>
    </row>
    <row r="695" spans="1:48" ht="15.75" customHeight="1" x14ac:dyDescent="0.95">
      <c r="A695" s="262"/>
      <c r="B695" s="262"/>
      <c r="Q695" s="261"/>
      <c r="R695" s="261"/>
      <c r="AV695" s="260"/>
    </row>
    <row r="696" spans="1:48" ht="15.75" customHeight="1" x14ac:dyDescent="0.95">
      <c r="A696" s="262"/>
      <c r="B696" s="262"/>
      <c r="Q696" s="261"/>
      <c r="R696" s="261"/>
      <c r="AV696" s="260"/>
    </row>
    <row r="697" spans="1:48" ht="15.75" customHeight="1" x14ac:dyDescent="0.95">
      <c r="A697" s="262"/>
      <c r="B697" s="262"/>
      <c r="Q697" s="261"/>
      <c r="R697" s="261"/>
      <c r="AV697" s="260"/>
    </row>
    <row r="698" spans="1:48" ht="15.75" customHeight="1" x14ac:dyDescent="0.95">
      <c r="A698" s="262"/>
      <c r="B698" s="262"/>
      <c r="Q698" s="261"/>
      <c r="R698" s="261"/>
      <c r="AV698" s="260"/>
    </row>
    <row r="699" spans="1:48" ht="15.75" customHeight="1" x14ac:dyDescent="0.95">
      <c r="A699" s="262"/>
      <c r="B699" s="262"/>
      <c r="Q699" s="261"/>
      <c r="R699" s="261"/>
      <c r="AV699" s="260"/>
    </row>
    <row r="700" spans="1:48" ht="15.75" customHeight="1" x14ac:dyDescent="0.95">
      <c r="A700" s="262"/>
      <c r="B700" s="262"/>
      <c r="Q700" s="261"/>
      <c r="R700" s="261"/>
      <c r="AV700" s="260"/>
    </row>
    <row r="701" spans="1:48" ht="15.75" customHeight="1" x14ac:dyDescent="0.95">
      <c r="A701" s="262"/>
      <c r="B701" s="262"/>
      <c r="Q701" s="261"/>
      <c r="R701" s="261"/>
      <c r="AV701" s="260"/>
    </row>
    <row r="702" spans="1:48" ht="15.75" customHeight="1" x14ac:dyDescent="0.95">
      <c r="A702" s="262"/>
      <c r="B702" s="262"/>
      <c r="Q702" s="261"/>
      <c r="R702" s="261"/>
      <c r="AV702" s="260"/>
    </row>
    <row r="703" spans="1:48" ht="15.75" customHeight="1" x14ac:dyDescent="0.95">
      <c r="A703" s="262"/>
      <c r="B703" s="262"/>
      <c r="Q703" s="261"/>
      <c r="R703" s="261"/>
      <c r="AV703" s="260"/>
    </row>
    <row r="704" spans="1:48" ht="15.75" customHeight="1" x14ac:dyDescent="0.95">
      <c r="A704" s="262"/>
      <c r="B704" s="262"/>
      <c r="Q704" s="261"/>
      <c r="R704" s="261"/>
      <c r="AV704" s="260"/>
    </row>
    <row r="705" spans="1:48" ht="15.75" customHeight="1" x14ac:dyDescent="0.95">
      <c r="A705" s="262"/>
      <c r="B705" s="262"/>
      <c r="Q705" s="261"/>
      <c r="R705" s="261"/>
      <c r="AV705" s="260"/>
    </row>
    <row r="706" spans="1:48" ht="15.75" customHeight="1" x14ac:dyDescent="0.95">
      <c r="A706" s="262"/>
      <c r="B706" s="262"/>
      <c r="Q706" s="261"/>
      <c r="R706" s="261"/>
      <c r="AV706" s="260"/>
    </row>
    <row r="707" spans="1:48" ht="15.75" customHeight="1" x14ac:dyDescent="0.95">
      <c r="A707" s="262"/>
      <c r="B707" s="262"/>
      <c r="Q707" s="261"/>
      <c r="R707" s="261"/>
      <c r="AV707" s="260"/>
    </row>
    <row r="708" spans="1:48" ht="15.75" customHeight="1" x14ac:dyDescent="0.95">
      <c r="A708" s="262"/>
      <c r="B708" s="262"/>
      <c r="Q708" s="261"/>
      <c r="R708" s="261"/>
      <c r="AV708" s="260"/>
    </row>
    <row r="709" spans="1:48" ht="15.75" customHeight="1" x14ac:dyDescent="0.95">
      <c r="A709" s="262"/>
      <c r="B709" s="262"/>
      <c r="Q709" s="261"/>
      <c r="R709" s="261"/>
      <c r="AV709" s="260"/>
    </row>
    <row r="710" spans="1:48" ht="15.75" customHeight="1" x14ac:dyDescent="0.95">
      <c r="A710" s="262"/>
      <c r="B710" s="262"/>
      <c r="Q710" s="261"/>
      <c r="R710" s="261"/>
      <c r="AV710" s="260"/>
    </row>
    <row r="711" spans="1:48" ht="15.75" customHeight="1" x14ac:dyDescent="0.95">
      <c r="A711" s="262"/>
      <c r="B711" s="262"/>
      <c r="Q711" s="261"/>
      <c r="R711" s="261"/>
      <c r="AV711" s="260"/>
    </row>
    <row r="712" spans="1:48" ht="15.75" customHeight="1" x14ac:dyDescent="0.95">
      <c r="A712" s="262"/>
      <c r="B712" s="262"/>
      <c r="Q712" s="261"/>
      <c r="R712" s="261"/>
      <c r="AV712" s="260"/>
    </row>
    <row r="713" spans="1:48" ht="15.75" customHeight="1" x14ac:dyDescent="0.95">
      <c r="A713" s="262"/>
      <c r="B713" s="262"/>
      <c r="Q713" s="261"/>
      <c r="R713" s="261"/>
      <c r="AV713" s="260"/>
    </row>
    <row r="714" spans="1:48" ht="15.75" customHeight="1" x14ac:dyDescent="0.95">
      <c r="A714" s="262"/>
      <c r="B714" s="262"/>
      <c r="Q714" s="261"/>
      <c r="R714" s="261"/>
      <c r="AV714" s="260"/>
    </row>
    <row r="715" spans="1:48" ht="15.75" customHeight="1" x14ac:dyDescent="0.95">
      <c r="A715" s="262"/>
      <c r="B715" s="262"/>
      <c r="Q715" s="261"/>
      <c r="R715" s="261"/>
      <c r="AV715" s="260"/>
    </row>
    <row r="716" spans="1:48" ht="15.75" customHeight="1" x14ac:dyDescent="0.95">
      <c r="A716" s="262"/>
      <c r="B716" s="262"/>
      <c r="Q716" s="261"/>
      <c r="R716" s="261"/>
      <c r="AV716" s="260"/>
    </row>
    <row r="717" spans="1:48" ht="15.75" customHeight="1" x14ac:dyDescent="0.95">
      <c r="A717" s="262"/>
      <c r="B717" s="262"/>
      <c r="Q717" s="261"/>
      <c r="R717" s="261"/>
      <c r="AV717" s="260"/>
    </row>
    <row r="718" spans="1:48" ht="15.75" customHeight="1" x14ac:dyDescent="0.95">
      <c r="A718" s="262"/>
      <c r="B718" s="262"/>
      <c r="Q718" s="261"/>
      <c r="R718" s="261"/>
      <c r="AV718" s="260"/>
    </row>
    <row r="719" spans="1:48" ht="15.75" customHeight="1" x14ac:dyDescent="0.95">
      <c r="A719" s="262"/>
      <c r="B719" s="262"/>
      <c r="Q719" s="261"/>
      <c r="R719" s="261"/>
      <c r="AV719" s="260"/>
    </row>
    <row r="720" spans="1:48" ht="15.75" customHeight="1" x14ac:dyDescent="0.95">
      <c r="A720" s="262"/>
      <c r="B720" s="262"/>
      <c r="Q720" s="261"/>
      <c r="R720" s="261"/>
      <c r="AV720" s="260"/>
    </row>
    <row r="721" spans="1:48" ht="15.75" customHeight="1" x14ac:dyDescent="0.95">
      <c r="A721" s="262"/>
      <c r="B721" s="262"/>
      <c r="Q721" s="261"/>
      <c r="R721" s="261"/>
      <c r="AV721" s="260"/>
    </row>
    <row r="722" spans="1:48" ht="15.75" customHeight="1" x14ac:dyDescent="0.95">
      <c r="A722" s="262"/>
      <c r="B722" s="262"/>
      <c r="Q722" s="261"/>
      <c r="R722" s="261"/>
      <c r="AV722" s="260"/>
    </row>
    <row r="723" spans="1:48" ht="15.75" customHeight="1" x14ac:dyDescent="0.95">
      <c r="A723" s="262"/>
      <c r="B723" s="262"/>
      <c r="Q723" s="261"/>
      <c r="R723" s="261"/>
      <c r="AV723" s="260"/>
    </row>
    <row r="724" spans="1:48" ht="15.75" customHeight="1" x14ac:dyDescent="0.95">
      <c r="A724" s="262"/>
      <c r="B724" s="262"/>
      <c r="Q724" s="261"/>
      <c r="R724" s="261"/>
      <c r="AV724" s="260"/>
    </row>
    <row r="725" spans="1:48" ht="15.75" customHeight="1" x14ac:dyDescent="0.95">
      <c r="A725" s="262"/>
      <c r="B725" s="262"/>
      <c r="Q725" s="261"/>
      <c r="R725" s="261"/>
      <c r="AV725" s="260"/>
    </row>
    <row r="726" spans="1:48" ht="15.75" customHeight="1" x14ac:dyDescent="0.95">
      <c r="A726" s="262"/>
      <c r="B726" s="262"/>
      <c r="Q726" s="261"/>
      <c r="R726" s="261"/>
      <c r="AV726" s="260"/>
    </row>
    <row r="727" spans="1:48" ht="15.75" customHeight="1" x14ac:dyDescent="0.95">
      <c r="A727" s="262"/>
      <c r="B727" s="262"/>
      <c r="Q727" s="261"/>
      <c r="R727" s="261"/>
      <c r="AV727" s="260"/>
    </row>
    <row r="728" spans="1:48" ht="15.75" customHeight="1" x14ac:dyDescent="0.95">
      <c r="A728" s="262"/>
      <c r="B728" s="262"/>
      <c r="Q728" s="261"/>
      <c r="R728" s="261"/>
      <c r="AV728" s="260"/>
    </row>
    <row r="729" spans="1:48" ht="15.75" customHeight="1" x14ac:dyDescent="0.95">
      <c r="A729" s="262"/>
      <c r="B729" s="262"/>
      <c r="Q729" s="261"/>
      <c r="R729" s="261"/>
      <c r="AV729" s="260"/>
    </row>
    <row r="730" spans="1:48" ht="15.75" customHeight="1" x14ac:dyDescent="0.95">
      <c r="A730" s="262"/>
      <c r="B730" s="262"/>
      <c r="Q730" s="261"/>
      <c r="R730" s="261"/>
      <c r="AV730" s="260"/>
    </row>
    <row r="731" spans="1:48" ht="15.75" customHeight="1" x14ac:dyDescent="0.95">
      <c r="A731" s="262"/>
      <c r="B731" s="262"/>
      <c r="Q731" s="261"/>
      <c r="R731" s="261"/>
      <c r="AV731" s="260"/>
    </row>
    <row r="732" spans="1:48" ht="15.75" customHeight="1" x14ac:dyDescent="0.95">
      <c r="A732" s="262"/>
      <c r="B732" s="262"/>
      <c r="Q732" s="261"/>
      <c r="R732" s="261"/>
      <c r="AV732" s="260"/>
    </row>
    <row r="733" spans="1:48" ht="15.75" customHeight="1" x14ac:dyDescent="0.95">
      <c r="A733" s="262"/>
      <c r="B733" s="262"/>
      <c r="Q733" s="261"/>
      <c r="R733" s="261"/>
      <c r="AV733" s="260"/>
    </row>
    <row r="734" spans="1:48" ht="15.75" customHeight="1" x14ac:dyDescent="0.95">
      <c r="A734" s="262"/>
      <c r="B734" s="262"/>
      <c r="Q734" s="261"/>
      <c r="R734" s="261"/>
      <c r="AV734" s="260"/>
    </row>
    <row r="735" spans="1:48" ht="15.75" customHeight="1" x14ac:dyDescent="0.95">
      <c r="A735" s="262"/>
      <c r="B735" s="262"/>
      <c r="Q735" s="261"/>
      <c r="R735" s="261"/>
      <c r="AV735" s="260"/>
    </row>
    <row r="736" spans="1:48" ht="15.75" customHeight="1" x14ac:dyDescent="0.95">
      <c r="A736" s="262"/>
      <c r="B736" s="262"/>
      <c r="Q736" s="261"/>
      <c r="R736" s="261"/>
      <c r="AV736" s="260"/>
    </row>
    <row r="737" spans="1:48" ht="15.75" customHeight="1" x14ac:dyDescent="0.95">
      <c r="A737" s="262"/>
      <c r="B737" s="262"/>
      <c r="Q737" s="261"/>
      <c r="R737" s="261"/>
      <c r="AV737" s="260"/>
    </row>
    <row r="738" spans="1:48" ht="15.75" customHeight="1" x14ac:dyDescent="0.95">
      <c r="A738" s="262"/>
      <c r="B738" s="262"/>
      <c r="Q738" s="261"/>
      <c r="R738" s="261"/>
      <c r="AV738" s="260"/>
    </row>
    <row r="739" spans="1:48" ht="15.75" customHeight="1" x14ac:dyDescent="0.95">
      <c r="A739" s="262"/>
      <c r="B739" s="262"/>
      <c r="Q739" s="261"/>
      <c r="R739" s="261"/>
      <c r="AV739" s="260"/>
    </row>
    <row r="740" spans="1:48" ht="15.75" customHeight="1" x14ac:dyDescent="0.95">
      <c r="A740" s="262"/>
      <c r="B740" s="262"/>
      <c r="Q740" s="261"/>
      <c r="R740" s="261"/>
      <c r="AV740" s="260"/>
    </row>
    <row r="741" spans="1:48" ht="15.75" customHeight="1" x14ac:dyDescent="0.95">
      <c r="A741" s="262"/>
      <c r="B741" s="262"/>
      <c r="Q741" s="261"/>
      <c r="R741" s="261"/>
      <c r="AV741" s="260"/>
    </row>
    <row r="742" spans="1:48" ht="15.75" customHeight="1" x14ac:dyDescent="0.95">
      <c r="A742" s="262"/>
      <c r="B742" s="262"/>
      <c r="Q742" s="261"/>
      <c r="R742" s="261"/>
      <c r="AV742" s="260"/>
    </row>
    <row r="743" spans="1:48" ht="15.75" customHeight="1" x14ac:dyDescent="0.95">
      <c r="A743" s="262"/>
      <c r="B743" s="262"/>
      <c r="Q743" s="261"/>
      <c r="R743" s="261"/>
      <c r="AV743" s="260"/>
    </row>
    <row r="744" spans="1:48" ht="15.75" customHeight="1" x14ac:dyDescent="0.95">
      <c r="A744" s="262"/>
      <c r="B744" s="262"/>
      <c r="Q744" s="261"/>
      <c r="R744" s="261"/>
      <c r="AV744" s="260"/>
    </row>
    <row r="745" spans="1:48" ht="15.75" customHeight="1" x14ac:dyDescent="0.95">
      <c r="A745" s="262"/>
      <c r="B745" s="262"/>
      <c r="Q745" s="261"/>
      <c r="R745" s="261"/>
      <c r="AV745" s="260"/>
    </row>
    <row r="746" spans="1:48" ht="15.75" customHeight="1" x14ac:dyDescent="0.95">
      <c r="A746" s="262"/>
      <c r="B746" s="262"/>
      <c r="Q746" s="261"/>
      <c r="R746" s="261"/>
      <c r="AV746" s="260"/>
    </row>
    <row r="747" spans="1:48" ht="15.75" customHeight="1" x14ac:dyDescent="0.95">
      <c r="A747" s="262"/>
      <c r="B747" s="262"/>
      <c r="Q747" s="261"/>
      <c r="R747" s="261"/>
      <c r="AV747" s="260"/>
    </row>
    <row r="748" spans="1:48" ht="15.75" customHeight="1" x14ac:dyDescent="0.95">
      <c r="A748" s="262"/>
      <c r="B748" s="262"/>
      <c r="Q748" s="261"/>
      <c r="R748" s="261"/>
      <c r="AV748" s="260"/>
    </row>
    <row r="749" spans="1:48" ht="15.75" customHeight="1" x14ac:dyDescent="0.95">
      <c r="A749" s="262"/>
      <c r="B749" s="262"/>
      <c r="Q749" s="261"/>
      <c r="R749" s="261"/>
      <c r="AV749" s="260"/>
    </row>
    <row r="750" spans="1:48" ht="15.75" customHeight="1" x14ac:dyDescent="0.95">
      <c r="A750" s="262"/>
      <c r="B750" s="262"/>
      <c r="Q750" s="261"/>
      <c r="R750" s="261"/>
      <c r="AV750" s="260"/>
    </row>
    <row r="751" spans="1:48" ht="15.75" customHeight="1" x14ac:dyDescent="0.95">
      <c r="A751" s="262"/>
      <c r="B751" s="262"/>
      <c r="Q751" s="261"/>
      <c r="R751" s="261"/>
      <c r="AV751" s="260"/>
    </row>
    <row r="752" spans="1:48" ht="15.75" customHeight="1" x14ac:dyDescent="0.95">
      <c r="A752" s="262"/>
      <c r="B752" s="262"/>
      <c r="Q752" s="261"/>
      <c r="R752" s="261"/>
      <c r="AV752" s="260"/>
    </row>
    <row r="753" spans="1:48" ht="15.75" customHeight="1" x14ac:dyDescent="0.95">
      <c r="A753" s="262"/>
      <c r="B753" s="262"/>
      <c r="Q753" s="261"/>
      <c r="R753" s="261"/>
      <c r="AV753" s="260"/>
    </row>
    <row r="754" spans="1:48" ht="15.75" customHeight="1" x14ac:dyDescent="0.95">
      <c r="A754" s="262"/>
      <c r="B754" s="262"/>
      <c r="Q754" s="261"/>
      <c r="R754" s="261"/>
      <c r="AV754" s="260"/>
    </row>
    <row r="755" spans="1:48" ht="15.75" customHeight="1" x14ac:dyDescent="0.95">
      <c r="A755" s="262"/>
      <c r="B755" s="262"/>
      <c r="Q755" s="261"/>
      <c r="R755" s="261"/>
      <c r="AV755" s="260"/>
    </row>
    <row r="756" spans="1:48" ht="15.75" customHeight="1" x14ac:dyDescent="0.95">
      <c r="A756" s="262"/>
      <c r="B756" s="262"/>
      <c r="Q756" s="261"/>
      <c r="R756" s="261"/>
      <c r="AV756" s="260"/>
    </row>
    <row r="757" spans="1:48" ht="15.75" customHeight="1" x14ac:dyDescent="0.95">
      <c r="A757" s="262"/>
      <c r="B757" s="262"/>
      <c r="Q757" s="261"/>
      <c r="R757" s="261"/>
      <c r="AV757" s="260"/>
    </row>
    <row r="758" spans="1:48" ht="15.75" customHeight="1" x14ac:dyDescent="0.95">
      <c r="A758" s="262"/>
      <c r="B758" s="262"/>
      <c r="Q758" s="261"/>
      <c r="R758" s="261"/>
      <c r="AV758" s="260"/>
    </row>
    <row r="759" spans="1:48" ht="15.75" customHeight="1" x14ac:dyDescent="0.95">
      <c r="A759" s="262"/>
      <c r="B759" s="262"/>
      <c r="Q759" s="261"/>
      <c r="R759" s="261"/>
      <c r="AV759" s="260"/>
    </row>
    <row r="760" spans="1:48" ht="15.75" customHeight="1" x14ac:dyDescent="0.95">
      <c r="A760" s="262"/>
      <c r="B760" s="262"/>
      <c r="Q760" s="261"/>
      <c r="R760" s="261"/>
      <c r="AV760" s="260"/>
    </row>
    <row r="761" spans="1:48" ht="15.75" customHeight="1" x14ac:dyDescent="0.95">
      <c r="A761" s="262"/>
      <c r="B761" s="262"/>
      <c r="Q761" s="261"/>
      <c r="R761" s="261"/>
      <c r="AV761" s="260"/>
    </row>
    <row r="762" spans="1:48" ht="15.75" customHeight="1" x14ac:dyDescent="0.95">
      <c r="A762" s="262"/>
      <c r="B762" s="262"/>
      <c r="Q762" s="261"/>
      <c r="R762" s="261"/>
      <c r="AV762" s="260"/>
    </row>
    <row r="763" spans="1:48" ht="15.75" customHeight="1" x14ac:dyDescent="0.95">
      <c r="A763" s="262"/>
      <c r="B763" s="262"/>
      <c r="Q763" s="261"/>
      <c r="R763" s="261"/>
      <c r="AV763" s="260"/>
    </row>
    <row r="764" spans="1:48" ht="15.75" customHeight="1" x14ac:dyDescent="0.95">
      <c r="A764" s="262"/>
      <c r="B764" s="262"/>
      <c r="Q764" s="261"/>
      <c r="R764" s="261"/>
      <c r="AV764" s="260"/>
    </row>
    <row r="765" spans="1:48" ht="15.75" customHeight="1" x14ac:dyDescent="0.95">
      <c r="A765" s="262"/>
      <c r="B765" s="262"/>
      <c r="Q765" s="261"/>
      <c r="R765" s="261"/>
      <c r="AV765" s="260"/>
    </row>
    <row r="766" spans="1:48" ht="15.75" customHeight="1" x14ac:dyDescent="0.95">
      <c r="A766" s="262"/>
      <c r="B766" s="262"/>
      <c r="Q766" s="261"/>
      <c r="R766" s="261"/>
      <c r="AV766" s="260"/>
    </row>
    <row r="767" spans="1:48" ht="15.75" customHeight="1" x14ac:dyDescent="0.95">
      <c r="A767" s="262"/>
      <c r="B767" s="262"/>
      <c r="Q767" s="261"/>
      <c r="R767" s="261"/>
      <c r="AV767" s="260"/>
    </row>
    <row r="768" spans="1:48" ht="15.75" customHeight="1" x14ac:dyDescent="0.95">
      <c r="A768" s="262"/>
      <c r="B768" s="262"/>
      <c r="Q768" s="261"/>
      <c r="R768" s="261"/>
      <c r="AV768" s="260"/>
    </row>
    <row r="769" spans="1:48" ht="15.75" customHeight="1" x14ac:dyDescent="0.95">
      <c r="A769" s="262"/>
      <c r="B769" s="262"/>
      <c r="Q769" s="261"/>
      <c r="R769" s="261"/>
      <c r="AV769" s="260"/>
    </row>
    <row r="770" spans="1:48" ht="15.75" customHeight="1" x14ac:dyDescent="0.95">
      <c r="A770" s="262"/>
      <c r="B770" s="262"/>
      <c r="Q770" s="261"/>
      <c r="R770" s="261"/>
      <c r="AV770" s="260"/>
    </row>
    <row r="771" spans="1:48" ht="15.75" customHeight="1" x14ac:dyDescent="0.95">
      <c r="A771" s="262"/>
      <c r="B771" s="262"/>
      <c r="Q771" s="261"/>
      <c r="R771" s="261"/>
      <c r="AV771" s="260"/>
    </row>
    <row r="772" spans="1:48" ht="15.75" customHeight="1" x14ac:dyDescent="0.95">
      <c r="A772" s="262"/>
      <c r="B772" s="262"/>
      <c r="Q772" s="261"/>
      <c r="R772" s="261"/>
      <c r="AV772" s="260"/>
    </row>
    <row r="773" spans="1:48" ht="15.75" customHeight="1" x14ac:dyDescent="0.95">
      <c r="A773" s="262"/>
      <c r="B773" s="262"/>
      <c r="Q773" s="261"/>
      <c r="R773" s="261"/>
      <c r="AV773" s="260"/>
    </row>
    <row r="774" spans="1:48" ht="15.75" customHeight="1" x14ac:dyDescent="0.95">
      <c r="A774" s="262"/>
      <c r="B774" s="262"/>
      <c r="Q774" s="261"/>
      <c r="R774" s="261"/>
      <c r="AV774" s="260"/>
    </row>
    <row r="775" spans="1:48" ht="15.75" customHeight="1" x14ac:dyDescent="0.95">
      <c r="A775" s="262"/>
      <c r="B775" s="262"/>
      <c r="Q775" s="261"/>
      <c r="R775" s="261"/>
      <c r="AV775" s="260"/>
    </row>
    <row r="776" spans="1:48" ht="15.75" customHeight="1" x14ac:dyDescent="0.95">
      <c r="A776" s="262"/>
      <c r="B776" s="262"/>
      <c r="Q776" s="261"/>
      <c r="R776" s="261"/>
      <c r="AV776" s="260"/>
    </row>
    <row r="777" spans="1:48" ht="15.75" customHeight="1" x14ac:dyDescent="0.95">
      <c r="A777" s="262"/>
      <c r="B777" s="262"/>
      <c r="Q777" s="261"/>
      <c r="R777" s="261"/>
      <c r="AV777" s="260"/>
    </row>
    <row r="778" spans="1:48" ht="15.75" customHeight="1" x14ac:dyDescent="0.95">
      <c r="A778" s="262"/>
      <c r="B778" s="262"/>
      <c r="Q778" s="261"/>
      <c r="R778" s="261"/>
      <c r="AV778" s="260"/>
    </row>
    <row r="779" spans="1:48" ht="15.75" customHeight="1" x14ac:dyDescent="0.95">
      <c r="A779" s="262"/>
      <c r="B779" s="262"/>
      <c r="Q779" s="261"/>
      <c r="R779" s="261"/>
      <c r="AV779" s="260"/>
    </row>
    <row r="780" spans="1:48" ht="15.75" customHeight="1" x14ac:dyDescent="0.95">
      <c r="A780" s="262"/>
      <c r="B780" s="262"/>
      <c r="Q780" s="261"/>
      <c r="R780" s="261"/>
      <c r="AV780" s="260"/>
    </row>
    <row r="781" spans="1:48" ht="15.75" customHeight="1" x14ac:dyDescent="0.95">
      <c r="A781" s="262"/>
      <c r="B781" s="262"/>
      <c r="Q781" s="261"/>
      <c r="R781" s="261"/>
      <c r="AV781" s="260"/>
    </row>
    <row r="782" spans="1:48" ht="15.75" customHeight="1" x14ac:dyDescent="0.95">
      <c r="A782" s="262"/>
      <c r="B782" s="262"/>
      <c r="Q782" s="261"/>
      <c r="R782" s="261"/>
      <c r="AV782" s="260"/>
    </row>
    <row r="783" spans="1:48" ht="15.75" customHeight="1" x14ac:dyDescent="0.95">
      <c r="A783" s="262"/>
      <c r="B783" s="262"/>
      <c r="Q783" s="261"/>
      <c r="R783" s="261"/>
      <c r="AV783" s="260"/>
    </row>
    <row r="784" spans="1:48" ht="15.75" customHeight="1" x14ac:dyDescent="0.95">
      <c r="A784" s="262"/>
      <c r="B784" s="262"/>
      <c r="Q784" s="261"/>
      <c r="R784" s="261"/>
      <c r="AV784" s="260"/>
    </row>
    <row r="785" spans="1:48" ht="15.75" customHeight="1" x14ac:dyDescent="0.95">
      <c r="A785" s="262"/>
      <c r="B785" s="262"/>
      <c r="Q785" s="261"/>
      <c r="R785" s="261"/>
      <c r="AV785" s="260"/>
    </row>
    <row r="786" spans="1:48" ht="15.75" customHeight="1" x14ac:dyDescent="0.95">
      <c r="A786" s="262"/>
      <c r="B786" s="262"/>
      <c r="Q786" s="261"/>
      <c r="R786" s="261"/>
      <c r="AV786" s="260"/>
    </row>
    <row r="787" spans="1:48" ht="15.75" customHeight="1" x14ac:dyDescent="0.95">
      <c r="A787" s="262"/>
      <c r="B787" s="262"/>
      <c r="Q787" s="261"/>
      <c r="R787" s="261"/>
      <c r="AV787" s="260"/>
    </row>
    <row r="788" spans="1:48" ht="15.75" customHeight="1" x14ac:dyDescent="0.95">
      <c r="A788" s="262"/>
      <c r="B788" s="262"/>
      <c r="Q788" s="261"/>
      <c r="R788" s="261"/>
      <c r="AV788" s="260"/>
    </row>
    <row r="789" spans="1:48" ht="15.75" customHeight="1" x14ac:dyDescent="0.95">
      <c r="A789" s="262"/>
      <c r="B789" s="262"/>
      <c r="Q789" s="261"/>
      <c r="R789" s="261"/>
      <c r="AV789" s="260"/>
    </row>
    <row r="790" spans="1:48" ht="15.75" customHeight="1" x14ac:dyDescent="0.95">
      <c r="A790" s="262"/>
      <c r="B790" s="262"/>
      <c r="Q790" s="261"/>
      <c r="R790" s="261"/>
      <c r="AV790" s="260"/>
    </row>
    <row r="791" spans="1:48" ht="15.75" customHeight="1" x14ac:dyDescent="0.95">
      <c r="A791" s="262"/>
      <c r="B791" s="262"/>
      <c r="Q791" s="261"/>
      <c r="R791" s="261"/>
      <c r="AV791" s="260"/>
    </row>
    <row r="792" spans="1:48" ht="15.75" customHeight="1" x14ac:dyDescent="0.95">
      <c r="A792" s="262"/>
      <c r="B792" s="262"/>
      <c r="Q792" s="261"/>
      <c r="R792" s="261"/>
      <c r="AV792" s="260"/>
    </row>
    <row r="793" spans="1:48" ht="15.75" customHeight="1" x14ac:dyDescent="0.95">
      <c r="A793" s="262"/>
      <c r="B793" s="262"/>
      <c r="Q793" s="261"/>
      <c r="R793" s="261"/>
      <c r="AV793" s="260"/>
    </row>
    <row r="794" spans="1:48" ht="15.75" customHeight="1" x14ac:dyDescent="0.95">
      <c r="A794" s="262"/>
      <c r="B794" s="262"/>
      <c r="Q794" s="261"/>
      <c r="R794" s="261"/>
      <c r="AV794" s="260"/>
    </row>
    <row r="795" spans="1:48" ht="15.75" customHeight="1" x14ac:dyDescent="0.95">
      <c r="A795" s="262"/>
      <c r="B795" s="262"/>
      <c r="Q795" s="261"/>
      <c r="R795" s="261"/>
      <c r="AV795" s="260"/>
    </row>
    <row r="796" spans="1:48" ht="15.75" customHeight="1" x14ac:dyDescent="0.95">
      <c r="A796" s="262"/>
      <c r="B796" s="262"/>
      <c r="Q796" s="261"/>
      <c r="R796" s="261"/>
      <c r="AV796" s="260"/>
    </row>
    <row r="797" spans="1:48" ht="15.75" customHeight="1" x14ac:dyDescent="0.95">
      <c r="A797" s="262"/>
      <c r="B797" s="262"/>
      <c r="Q797" s="261"/>
      <c r="R797" s="261"/>
      <c r="AV797" s="260"/>
    </row>
    <row r="798" spans="1:48" ht="15.75" customHeight="1" x14ac:dyDescent="0.95">
      <c r="A798" s="262"/>
      <c r="B798" s="262"/>
      <c r="Q798" s="261"/>
      <c r="R798" s="261"/>
      <c r="AV798" s="260"/>
    </row>
    <row r="799" spans="1:48" ht="15.75" customHeight="1" x14ac:dyDescent="0.95">
      <c r="A799" s="262"/>
      <c r="B799" s="262"/>
      <c r="Q799" s="261"/>
      <c r="R799" s="261"/>
      <c r="AV799" s="260"/>
    </row>
    <row r="800" spans="1:48" ht="15.75" customHeight="1" x14ac:dyDescent="0.95">
      <c r="A800" s="262"/>
      <c r="B800" s="262"/>
      <c r="Q800" s="261"/>
      <c r="R800" s="261"/>
      <c r="AV800" s="260"/>
    </row>
    <row r="801" spans="1:48" ht="15.75" customHeight="1" x14ac:dyDescent="0.95">
      <c r="A801" s="262"/>
      <c r="B801" s="262"/>
      <c r="Q801" s="261"/>
      <c r="R801" s="261"/>
      <c r="AV801" s="260"/>
    </row>
    <row r="802" spans="1:48" ht="15.75" customHeight="1" x14ac:dyDescent="0.95">
      <c r="A802" s="262"/>
      <c r="B802" s="262"/>
      <c r="Q802" s="261"/>
      <c r="R802" s="261"/>
      <c r="AV802" s="260"/>
    </row>
    <row r="803" spans="1:48" ht="15.75" customHeight="1" x14ac:dyDescent="0.95">
      <c r="A803" s="262"/>
      <c r="B803" s="262"/>
      <c r="Q803" s="261"/>
      <c r="R803" s="261"/>
      <c r="AV803" s="260"/>
    </row>
    <row r="804" spans="1:48" ht="15.75" customHeight="1" x14ac:dyDescent="0.95">
      <c r="A804" s="262"/>
      <c r="B804" s="262"/>
      <c r="Q804" s="261"/>
      <c r="R804" s="261"/>
      <c r="AV804" s="260"/>
    </row>
    <row r="805" spans="1:48" ht="15.75" customHeight="1" x14ac:dyDescent="0.95">
      <c r="A805" s="262"/>
      <c r="B805" s="262"/>
      <c r="Q805" s="261"/>
      <c r="R805" s="261"/>
      <c r="AV805" s="260"/>
    </row>
    <row r="806" spans="1:48" ht="15.75" customHeight="1" x14ac:dyDescent="0.95">
      <c r="A806" s="262"/>
      <c r="B806" s="262"/>
      <c r="Q806" s="261"/>
      <c r="R806" s="261"/>
      <c r="AV806" s="260"/>
    </row>
    <row r="807" spans="1:48" ht="15.75" customHeight="1" x14ac:dyDescent="0.95">
      <c r="A807" s="262"/>
      <c r="B807" s="262"/>
      <c r="Q807" s="261"/>
      <c r="R807" s="261"/>
      <c r="AV807" s="260"/>
    </row>
    <row r="808" spans="1:48" ht="15.75" customHeight="1" x14ac:dyDescent="0.95">
      <c r="A808" s="262"/>
      <c r="B808" s="262"/>
      <c r="Q808" s="261"/>
      <c r="R808" s="261"/>
      <c r="AV808" s="260"/>
    </row>
    <row r="809" spans="1:48" ht="15.75" customHeight="1" x14ac:dyDescent="0.95">
      <c r="A809" s="262"/>
      <c r="B809" s="262"/>
      <c r="Q809" s="261"/>
      <c r="R809" s="261"/>
      <c r="AV809" s="260"/>
    </row>
    <row r="810" spans="1:48" ht="15.75" customHeight="1" x14ac:dyDescent="0.95">
      <c r="A810" s="262"/>
      <c r="B810" s="262"/>
      <c r="Q810" s="261"/>
      <c r="R810" s="261"/>
      <c r="AV810" s="260"/>
    </row>
    <row r="811" spans="1:48" ht="15.75" customHeight="1" x14ac:dyDescent="0.95">
      <c r="A811" s="262"/>
      <c r="B811" s="262"/>
      <c r="Q811" s="261"/>
      <c r="R811" s="261"/>
      <c r="AV811" s="260"/>
    </row>
    <row r="812" spans="1:48" ht="15.75" customHeight="1" x14ac:dyDescent="0.95">
      <c r="A812" s="262"/>
      <c r="B812" s="262"/>
      <c r="Q812" s="261"/>
      <c r="R812" s="261"/>
      <c r="AV812" s="260"/>
    </row>
    <row r="813" spans="1:48" ht="15.75" customHeight="1" x14ac:dyDescent="0.95">
      <c r="A813" s="262"/>
      <c r="B813" s="262"/>
      <c r="Q813" s="261"/>
      <c r="R813" s="261"/>
      <c r="AV813" s="260"/>
    </row>
    <row r="814" spans="1:48" ht="15.75" customHeight="1" x14ac:dyDescent="0.95">
      <c r="A814" s="262"/>
      <c r="B814" s="262"/>
      <c r="Q814" s="261"/>
      <c r="R814" s="261"/>
      <c r="AV814" s="260"/>
    </row>
    <row r="815" spans="1:48" ht="15.75" customHeight="1" x14ac:dyDescent="0.95">
      <c r="A815" s="262"/>
      <c r="B815" s="262"/>
      <c r="Q815" s="261"/>
      <c r="R815" s="261"/>
      <c r="AV815" s="260"/>
    </row>
    <row r="816" spans="1:48" ht="15.75" customHeight="1" x14ac:dyDescent="0.95">
      <c r="A816" s="262"/>
      <c r="B816" s="262"/>
      <c r="Q816" s="261"/>
      <c r="R816" s="261"/>
      <c r="AV816" s="260"/>
    </row>
    <row r="817" spans="1:48" ht="15.75" customHeight="1" x14ac:dyDescent="0.95">
      <c r="A817" s="262"/>
      <c r="B817" s="262"/>
      <c r="Q817" s="261"/>
      <c r="R817" s="261"/>
      <c r="AV817" s="260"/>
    </row>
    <row r="818" spans="1:48" ht="15.75" customHeight="1" x14ac:dyDescent="0.95">
      <c r="A818" s="262"/>
      <c r="B818" s="262"/>
      <c r="Q818" s="261"/>
      <c r="R818" s="261"/>
      <c r="AV818" s="260"/>
    </row>
    <row r="819" spans="1:48" ht="15.75" customHeight="1" x14ac:dyDescent="0.95">
      <c r="A819" s="262"/>
      <c r="B819" s="262"/>
      <c r="Q819" s="261"/>
      <c r="R819" s="261"/>
      <c r="AV819" s="260"/>
    </row>
    <row r="820" spans="1:48" ht="15.75" customHeight="1" x14ac:dyDescent="0.95">
      <c r="A820" s="262"/>
      <c r="B820" s="262"/>
      <c r="Q820" s="261"/>
      <c r="R820" s="261"/>
      <c r="AV820" s="260"/>
    </row>
    <row r="821" spans="1:48" ht="15.75" customHeight="1" x14ac:dyDescent="0.95">
      <c r="A821" s="262"/>
      <c r="B821" s="262"/>
      <c r="Q821" s="261"/>
      <c r="R821" s="261"/>
      <c r="AV821" s="260"/>
    </row>
    <row r="822" spans="1:48" ht="15.75" customHeight="1" x14ac:dyDescent="0.95">
      <c r="A822" s="262"/>
      <c r="B822" s="262"/>
      <c r="Q822" s="261"/>
      <c r="R822" s="261"/>
      <c r="AV822" s="260"/>
    </row>
    <row r="823" spans="1:48" ht="15.75" customHeight="1" x14ac:dyDescent="0.95">
      <c r="A823" s="262"/>
      <c r="B823" s="262"/>
      <c r="Q823" s="261"/>
      <c r="R823" s="261"/>
      <c r="AV823" s="260"/>
    </row>
    <row r="824" spans="1:48" ht="15.75" customHeight="1" x14ac:dyDescent="0.95">
      <c r="A824" s="262"/>
      <c r="B824" s="262"/>
      <c r="Q824" s="261"/>
      <c r="R824" s="261"/>
      <c r="AV824" s="260"/>
    </row>
    <row r="825" spans="1:48" ht="15.75" customHeight="1" x14ac:dyDescent="0.95">
      <c r="A825" s="262"/>
      <c r="B825" s="262"/>
      <c r="Q825" s="261"/>
      <c r="R825" s="261"/>
      <c r="AV825" s="260"/>
    </row>
    <row r="826" spans="1:48" ht="15.75" customHeight="1" x14ac:dyDescent="0.95">
      <c r="A826" s="262"/>
      <c r="B826" s="262"/>
      <c r="Q826" s="261"/>
      <c r="R826" s="261"/>
      <c r="AV826" s="260"/>
    </row>
    <row r="827" spans="1:48" ht="15.75" customHeight="1" x14ac:dyDescent="0.95">
      <c r="A827" s="262"/>
      <c r="B827" s="262"/>
      <c r="Q827" s="261"/>
      <c r="R827" s="261"/>
      <c r="AV827" s="260"/>
    </row>
    <row r="828" spans="1:48" ht="15.75" customHeight="1" x14ac:dyDescent="0.95">
      <c r="A828" s="262"/>
      <c r="B828" s="262"/>
      <c r="Q828" s="261"/>
      <c r="R828" s="261"/>
      <c r="AV828" s="260"/>
    </row>
    <row r="829" spans="1:48" ht="15.75" customHeight="1" x14ac:dyDescent="0.95">
      <c r="A829" s="262"/>
      <c r="B829" s="262"/>
      <c r="Q829" s="261"/>
      <c r="R829" s="261"/>
      <c r="AV829" s="260"/>
    </row>
    <row r="830" spans="1:48" ht="15.75" customHeight="1" x14ac:dyDescent="0.95">
      <c r="A830" s="262"/>
      <c r="B830" s="262"/>
      <c r="Q830" s="261"/>
      <c r="R830" s="261"/>
      <c r="AV830" s="260"/>
    </row>
    <row r="831" spans="1:48" ht="15.75" customHeight="1" x14ac:dyDescent="0.95">
      <c r="A831" s="262"/>
      <c r="B831" s="262"/>
      <c r="Q831" s="261"/>
      <c r="R831" s="261"/>
      <c r="AV831" s="260"/>
    </row>
    <row r="832" spans="1:48" ht="15.75" customHeight="1" x14ac:dyDescent="0.95">
      <c r="A832" s="262"/>
      <c r="B832" s="262"/>
      <c r="Q832" s="261"/>
      <c r="R832" s="261"/>
      <c r="AV832" s="260"/>
    </row>
    <row r="833" spans="1:48" ht="15.75" customHeight="1" x14ac:dyDescent="0.95">
      <c r="A833" s="262"/>
      <c r="B833" s="262"/>
      <c r="Q833" s="261"/>
      <c r="R833" s="261"/>
      <c r="AV833" s="260"/>
    </row>
    <row r="834" spans="1:48" ht="15.75" customHeight="1" x14ac:dyDescent="0.95">
      <c r="A834" s="262"/>
      <c r="B834" s="262"/>
      <c r="Q834" s="261"/>
      <c r="R834" s="261"/>
      <c r="AV834" s="260"/>
    </row>
    <row r="835" spans="1:48" ht="15.75" customHeight="1" x14ac:dyDescent="0.95">
      <c r="A835" s="262"/>
      <c r="B835" s="262"/>
      <c r="Q835" s="261"/>
      <c r="R835" s="261"/>
      <c r="AV835" s="260"/>
    </row>
    <row r="836" spans="1:48" ht="15.75" customHeight="1" x14ac:dyDescent="0.95">
      <c r="A836" s="262"/>
      <c r="B836" s="262"/>
      <c r="Q836" s="261"/>
      <c r="R836" s="261"/>
      <c r="AV836" s="260"/>
    </row>
    <row r="837" spans="1:48" ht="15.75" customHeight="1" x14ac:dyDescent="0.95">
      <c r="A837" s="262"/>
      <c r="B837" s="262"/>
      <c r="Q837" s="261"/>
      <c r="R837" s="261"/>
      <c r="AV837" s="260"/>
    </row>
    <row r="838" spans="1:48" ht="15.75" customHeight="1" x14ac:dyDescent="0.95">
      <c r="A838" s="262"/>
      <c r="B838" s="262"/>
      <c r="Q838" s="261"/>
      <c r="R838" s="261"/>
      <c r="AV838" s="260"/>
    </row>
    <row r="839" spans="1:48" ht="15.75" customHeight="1" x14ac:dyDescent="0.95">
      <c r="A839" s="262"/>
      <c r="B839" s="262"/>
      <c r="Q839" s="261"/>
      <c r="R839" s="261"/>
      <c r="AV839" s="260"/>
    </row>
    <row r="840" spans="1:48" ht="15.75" customHeight="1" x14ac:dyDescent="0.95">
      <c r="A840" s="262"/>
      <c r="B840" s="262"/>
      <c r="Q840" s="261"/>
      <c r="R840" s="261"/>
      <c r="AV840" s="260"/>
    </row>
    <row r="841" spans="1:48" ht="15.75" customHeight="1" x14ac:dyDescent="0.95">
      <c r="A841" s="262"/>
      <c r="B841" s="262"/>
      <c r="Q841" s="261"/>
      <c r="R841" s="261"/>
      <c r="AV841" s="260"/>
    </row>
    <row r="842" spans="1:48" ht="15.75" customHeight="1" x14ac:dyDescent="0.95">
      <c r="A842" s="262"/>
      <c r="B842" s="262"/>
      <c r="Q842" s="261"/>
      <c r="R842" s="261"/>
      <c r="AV842" s="260"/>
    </row>
    <row r="843" spans="1:48" ht="15.75" customHeight="1" x14ac:dyDescent="0.95">
      <c r="A843" s="262"/>
      <c r="B843" s="262"/>
      <c r="Q843" s="261"/>
      <c r="R843" s="261"/>
      <c r="AV843" s="260"/>
    </row>
    <row r="844" spans="1:48" ht="15.75" customHeight="1" x14ac:dyDescent="0.95">
      <c r="A844" s="262"/>
      <c r="B844" s="262"/>
      <c r="Q844" s="261"/>
      <c r="R844" s="261"/>
      <c r="AV844" s="260"/>
    </row>
    <row r="845" spans="1:48" ht="15.75" customHeight="1" x14ac:dyDescent="0.95">
      <c r="A845" s="262"/>
      <c r="B845" s="262"/>
      <c r="Q845" s="261"/>
      <c r="R845" s="261"/>
      <c r="AV845" s="260"/>
    </row>
    <row r="846" spans="1:48" ht="15.75" customHeight="1" x14ac:dyDescent="0.95">
      <c r="A846" s="262"/>
      <c r="B846" s="262"/>
      <c r="Q846" s="261"/>
      <c r="R846" s="261"/>
      <c r="AV846" s="260"/>
    </row>
    <row r="847" spans="1:48" ht="15.75" customHeight="1" x14ac:dyDescent="0.95">
      <c r="A847" s="262"/>
      <c r="B847" s="262"/>
      <c r="Q847" s="261"/>
      <c r="R847" s="261"/>
      <c r="AV847" s="260"/>
    </row>
    <row r="848" spans="1:48" ht="15.75" customHeight="1" x14ac:dyDescent="0.95">
      <c r="A848" s="262"/>
      <c r="B848" s="262"/>
      <c r="Q848" s="261"/>
      <c r="R848" s="261"/>
      <c r="AV848" s="260"/>
    </row>
    <row r="849" spans="1:48" ht="15.75" customHeight="1" x14ac:dyDescent="0.95">
      <c r="A849" s="262"/>
      <c r="B849" s="262"/>
      <c r="Q849" s="261"/>
      <c r="R849" s="261"/>
      <c r="AV849" s="260"/>
    </row>
    <row r="850" spans="1:48" ht="15.75" customHeight="1" x14ac:dyDescent="0.95">
      <c r="A850" s="262"/>
      <c r="B850" s="262"/>
      <c r="Q850" s="261"/>
      <c r="R850" s="261"/>
      <c r="AV850" s="260"/>
    </row>
    <row r="851" spans="1:48" ht="15.75" customHeight="1" x14ac:dyDescent="0.95">
      <c r="A851" s="262"/>
      <c r="B851" s="262"/>
      <c r="Q851" s="261"/>
      <c r="R851" s="261"/>
      <c r="AV851" s="260"/>
    </row>
    <row r="852" spans="1:48" ht="15.75" customHeight="1" x14ac:dyDescent="0.95">
      <c r="A852" s="262"/>
      <c r="B852" s="262"/>
      <c r="Q852" s="261"/>
      <c r="R852" s="261"/>
      <c r="AV852" s="260"/>
    </row>
    <row r="853" spans="1:48" ht="15.75" customHeight="1" x14ac:dyDescent="0.95">
      <c r="A853" s="262"/>
      <c r="B853" s="262"/>
      <c r="Q853" s="261"/>
      <c r="R853" s="261"/>
      <c r="AV853" s="260"/>
    </row>
    <row r="854" spans="1:48" ht="15.75" customHeight="1" x14ac:dyDescent="0.95">
      <c r="A854" s="262"/>
      <c r="B854" s="262"/>
      <c r="Q854" s="261"/>
      <c r="R854" s="261"/>
      <c r="AV854" s="260"/>
    </row>
    <row r="855" spans="1:48" ht="15.75" customHeight="1" x14ac:dyDescent="0.95">
      <c r="A855" s="262"/>
      <c r="B855" s="262"/>
      <c r="Q855" s="261"/>
      <c r="R855" s="261"/>
      <c r="AV855" s="260"/>
    </row>
    <row r="856" spans="1:48" ht="15.75" customHeight="1" x14ac:dyDescent="0.95">
      <c r="A856" s="262"/>
      <c r="B856" s="262"/>
      <c r="Q856" s="261"/>
      <c r="R856" s="261"/>
      <c r="AV856" s="260"/>
    </row>
    <row r="857" spans="1:48" ht="15.75" customHeight="1" x14ac:dyDescent="0.95">
      <c r="A857" s="262"/>
      <c r="B857" s="262"/>
      <c r="Q857" s="261"/>
      <c r="R857" s="261"/>
      <c r="AV857" s="260"/>
    </row>
    <row r="858" spans="1:48" ht="15.75" customHeight="1" x14ac:dyDescent="0.95">
      <c r="A858" s="262"/>
      <c r="B858" s="262"/>
      <c r="Q858" s="261"/>
      <c r="R858" s="261"/>
      <c r="AV858" s="260"/>
    </row>
    <row r="859" spans="1:48" ht="15.75" customHeight="1" x14ac:dyDescent="0.95">
      <c r="A859" s="262"/>
      <c r="B859" s="262"/>
      <c r="Q859" s="261"/>
      <c r="R859" s="261"/>
      <c r="AV859" s="260"/>
    </row>
    <row r="860" spans="1:48" ht="15.75" customHeight="1" x14ac:dyDescent="0.95">
      <c r="A860" s="262"/>
      <c r="B860" s="262"/>
      <c r="Q860" s="261"/>
      <c r="R860" s="261"/>
      <c r="AV860" s="260"/>
    </row>
    <row r="861" spans="1:48" ht="15.75" customHeight="1" x14ac:dyDescent="0.95">
      <c r="A861" s="262"/>
      <c r="B861" s="262"/>
      <c r="Q861" s="261"/>
      <c r="R861" s="261"/>
      <c r="AV861" s="260"/>
    </row>
    <row r="862" spans="1:48" ht="15.75" customHeight="1" x14ac:dyDescent="0.95">
      <c r="A862" s="262"/>
      <c r="B862" s="262"/>
      <c r="Q862" s="261"/>
      <c r="R862" s="261"/>
      <c r="AV862" s="260"/>
    </row>
    <row r="863" spans="1:48" ht="15.75" customHeight="1" x14ac:dyDescent="0.95">
      <c r="A863" s="262"/>
      <c r="B863" s="262"/>
      <c r="Q863" s="261"/>
      <c r="R863" s="261"/>
      <c r="AV863" s="260"/>
    </row>
    <row r="864" spans="1:48" ht="15.75" customHeight="1" x14ac:dyDescent="0.95">
      <c r="A864" s="262"/>
      <c r="B864" s="262"/>
      <c r="Q864" s="261"/>
      <c r="R864" s="261"/>
      <c r="AV864" s="260"/>
    </row>
    <row r="865" spans="1:48" ht="15.75" customHeight="1" x14ac:dyDescent="0.95">
      <c r="A865" s="262"/>
      <c r="B865" s="262"/>
      <c r="Q865" s="261"/>
      <c r="R865" s="261"/>
      <c r="AV865" s="260"/>
    </row>
    <row r="866" spans="1:48" ht="15.75" customHeight="1" x14ac:dyDescent="0.95">
      <c r="A866" s="262"/>
      <c r="B866" s="262"/>
      <c r="Q866" s="261"/>
      <c r="R866" s="261"/>
      <c r="AV866" s="260"/>
    </row>
    <row r="867" spans="1:48" ht="15.75" customHeight="1" x14ac:dyDescent="0.95">
      <c r="A867" s="262"/>
      <c r="B867" s="262"/>
      <c r="Q867" s="261"/>
      <c r="R867" s="261"/>
      <c r="AV867" s="260"/>
    </row>
    <row r="868" spans="1:48" ht="15.75" customHeight="1" x14ac:dyDescent="0.95">
      <c r="A868" s="262"/>
      <c r="B868" s="262"/>
      <c r="Q868" s="261"/>
      <c r="R868" s="261"/>
      <c r="AV868" s="260"/>
    </row>
    <row r="869" spans="1:48" ht="15.75" customHeight="1" x14ac:dyDescent="0.95">
      <c r="A869" s="262"/>
      <c r="B869" s="262"/>
      <c r="Q869" s="261"/>
      <c r="R869" s="261"/>
      <c r="AV869" s="260"/>
    </row>
    <row r="870" spans="1:48" ht="15.75" customHeight="1" x14ac:dyDescent="0.95">
      <c r="A870" s="262"/>
      <c r="B870" s="262"/>
      <c r="Q870" s="261"/>
      <c r="R870" s="261"/>
      <c r="AV870" s="260"/>
    </row>
    <row r="871" spans="1:48" ht="15.75" customHeight="1" x14ac:dyDescent="0.95">
      <c r="A871" s="262"/>
      <c r="B871" s="262"/>
      <c r="Q871" s="261"/>
      <c r="R871" s="261"/>
      <c r="AV871" s="260"/>
    </row>
    <row r="872" spans="1:48" ht="15.75" customHeight="1" x14ac:dyDescent="0.95">
      <c r="A872" s="262"/>
      <c r="B872" s="262"/>
      <c r="Q872" s="261"/>
      <c r="R872" s="261"/>
      <c r="AV872" s="260"/>
    </row>
    <row r="873" spans="1:48" ht="15.75" customHeight="1" x14ac:dyDescent="0.95">
      <c r="A873" s="262"/>
      <c r="B873" s="262"/>
      <c r="Q873" s="261"/>
      <c r="R873" s="261"/>
      <c r="AV873" s="260"/>
    </row>
    <row r="874" spans="1:48" ht="15.75" customHeight="1" x14ac:dyDescent="0.95">
      <c r="A874" s="262"/>
      <c r="B874" s="262"/>
      <c r="Q874" s="261"/>
      <c r="R874" s="261"/>
      <c r="AV874" s="260"/>
    </row>
    <row r="875" spans="1:48" ht="15.75" customHeight="1" x14ac:dyDescent="0.95">
      <c r="A875" s="262"/>
      <c r="B875" s="262"/>
      <c r="Q875" s="261"/>
      <c r="R875" s="261"/>
      <c r="AV875" s="260"/>
    </row>
    <row r="876" spans="1:48" ht="15.75" customHeight="1" x14ac:dyDescent="0.95">
      <c r="A876" s="262"/>
      <c r="B876" s="262"/>
      <c r="Q876" s="261"/>
      <c r="R876" s="261"/>
      <c r="AV876" s="260"/>
    </row>
    <row r="877" spans="1:48" ht="15.75" customHeight="1" x14ac:dyDescent="0.95">
      <c r="A877" s="262"/>
      <c r="B877" s="262"/>
      <c r="Q877" s="261"/>
      <c r="R877" s="261"/>
      <c r="AV877" s="260"/>
    </row>
    <row r="878" spans="1:48" ht="15.75" customHeight="1" x14ac:dyDescent="0.95">
      <c r="A878" s="262"/>
      <c r="B878" s="262"/>
      <c r="Q878" s="261"/>
      <c r="R878" s="261"/>
      <c r="AV878" s="260"/>
    </row>
    <row r="879" spans="1:48" ht="15.75" customHeight="1" x14ac:dyDescent="0.95">
      <c r="A879" s="262"/>
      <c r="B879" s="262"/>
      <c r="Q879" s="261"/>
      <c r="R879" s="261"/>
      <c r="AV879" s="260"/>
    </row>
    <row r="880" spans="1:48" ht="15.75" customHeight="1" x14ac:dyDescent="0.95">
      <c r="A880" s="262"/>
      <c r="B880" s="262"/>
      <c r="Q880" s="261"/>
      <c r="R880" s="261"/>
      <c r="AV880" s="260"/>
    </row>
    <row r="881" spans="1:48" ht="15.75" customHeight="1" x14ac:dyDescent="0.95">
      <c r="A881" s="262"/>
      <c r="B881" s="262"/>
      <c r="Q881" s="261"/>
      <c r="R881" s="261"/>
      <c r="AV881" s="260"/>
    </row>
    <row r="882" spans="1:48" ht="15.75" customHeight="1" x14ac:dyDescent="0.95">
      <c r="A882" s="262"/>
      <c r="B882" s="262"/>
      <c r="Q882" s="261"/>
      <c r="R882" s="261"/>
      <c r="AV882" s="260"/>
    </row>
    <row r="883" spans="1:48" ht="15.75" customHeight="1" x14ac:dyDescent="0.95">
      <c r="A883" s="262"/>
      <c r="B883" s="262"/>
      <c r="Q883" s="261"/>
      <c r="R883" s="261"/>
      <c r="AV883" s="260"/>
    </row>
    <row r="884" spans="1:48" ht="15.75" customHeight="1" x14ac:dyDescent="0.95">
      <c r="A884" s="262"/>
      <c r="B884" s="262"/>
      <c r="Q884" s="261"/>
      <c r="R884" s="261"/>
      <c r="AV884" s="260"/>
    </row>
    <row r="885" spans="1:48" ht="15.75" customHeight="1" x14ac:dyDescent="0.95">
      <c r="A885" s="262"/>
      <c r="B885" s="262"/>
      <c r="Q885" s="261"/>
      <c r="R885" s="261"/>
      <c r="AV885" s="260"/>
    </row>
    <row r="886" spans="1:48" ht="15.75" customHeight="1" x14ac:dyDescent="0.95">
      <c r="A886" s="262"/>
      <c r="B886" s="262"/>
      <c r="Q886" s="261"/>
      <c r="R886" s="261"/>
      <c r="AV886" s="260"/>
    </row>
    <row r="887" spans="1:48" ht="15.75" customHeight="1" x14ac:dyDescent="0.95">
      <c r="A887" s="262"/>
      <c r="B887" s="262"/>
      <c r="Q887" s="261"/>
      <c r="R887" s="261"/>
      <c r="AV887" s="260"/>
    </row>
    <row r="888" spans="1:48" ht="15.75" customHeight="1" x14ac:dyDescent="0.95">
      <c r="A888" s="262"/>
      <c r="B888" s="262"/>
      <c r="Q888" s="261"/>
      <c r="R888" s="261"/>
      <c r="AV888" s="260"/>
    </row>
    <row r="889" spans="1:48" ht="15.75" customHeight="1" x14ac:dyDescent="0.95">
      <c r="A889" s="262"/>
      <c r="B889" s="262"/>
      <c r="Q889" s="261"/>
      <c r="R889" s="261"/>
      <c r="AV889" s="260"/>
    </row>
    <row r="890" spans="1:48" ht="15.75" customHeight="1" x14ac:dyDescent="0.95">
      <c r="A890" s="262"/>
      <c r="B890" s="262"/>
      <c r="Q890" s="261"/>
      <c r="R890" s="261"/>
      <c r="AV890" s="260"/>
    </row>
    <row r="891" spans="1:48" ht="15.75" customHeight="1" x14ac:dyDescent="0.95">
      <c r="A891" s="262"/>
      <c r="B891" s="262"/>
      <c r="Q891" s="261"/>
      <c r="R891" s="261"/>
      <c r="AV891" s="260"/>
    </row>
    <row r="892" spans="1:48" ht="15.75" customHeight="1" x14ac:dyDescent="0.95">
      <c r="A892" s="262"/>
      <c r="B892" s="262"/>
      <c r="Q892" s="261"/>
      <c r="R892" s="261"/>
      <c r="AV892" s="260"/>
    </row>
    <row r="893" spans="1:48" ht="15.75" customHeight="1" x14ac:dyDescent="0.95">
      <c r="A893" s="262"/>
      <c r="B893" s="262"/>
      <c r="Q893" s="261"/>
      <c r="R893" s="261"/>
      <c r="AV893" s="260"/>
    </row>
    <row r="894" spans="1:48" ht="15.75" customHeight="1" x14ac:dyDescent="0.95">
      <c r="A894" s="262"/>
      <c r="B894" s="262"/>
      <c r="Q894" s="261"/>
      <c r="R894" s="261"/>
      <c r="AV894" s="260"/>
    </row>
    <row r="895" spans="1:48" ht="15.75" customHeight="1" x14ac:dyDescent="0.95">
      <c r="A895" s="262"/>
      <c r="B895" s="262"/>
      <c r="Q895" s="261"/>
      <c r="R895" s="261"/>
      <c r="AV895" s="260"/>
    </row>
    <row r="896" spans="1:48" ht="15.75" customHeight="1" x14ac:dyDescent="0.95">
      <c r="A896" s="262"/>
      <c r="B896" s="262"/>
      <c r="Q896" s="261"/>
      <c r="R896" s="261"/>
      <c r="AV896" s="260"/>
    </row>
    <row r="897" spans="1:48" ht="15.75" customHeight="1" x14ac:dyDescent="0.95">
      <c r="A897" s="262"/>
      <c r="B897" s="262"/>
      <c r="Q897" s="261"/>
      <c r="R897" s="261"/>
      <c r="AV897" s="260"/>
    </row>
    <row r="898" spans="1:48" ht="15.75" customHeight="1" x14ac:dyDescent="0.95">
      <c r="A898" s="262"/>
      <c r="B898" s="262"/>
      <c r="Q898" s="261"/>
      <c r="R898" s="261"/>
      <c r="AV898" s="260"/>
    </row>
    <row r="899" spans="1:48" ht="15.75" customHeight="1" x14ac:dyDescent="0.95">
      <c r="A899" s="262"/>
      <c r="B899" s="262"/>
      <c r="Q899" s="261"/>
      <c r="R899" s="261"/>
      <c r="AV899" s="260"/>
    </row>
    <row r="900" spans="1:48" ht="15.75" customHeight="1" x14ac:dyDescent="0.95">
      <c r="A900" s="262"/>
      <c r="B900" s="262"/>
      <c r="Q900" s="261"/>
      <c r="R900" s="261"/>
      <c r="AV900" s="260"/>
    </row>
    <row r="901" spans="1:48" ht="15.75" customHeight="1" x14ac:dyDescent="0.95">
      <c r="A901" s="262"/>
      <c r="B901" s="262"/>
      <c r="Q901" s="261"/>
      <c r="R901" s="261"/>
      <c r="AV901" s="260"/>
    </row>
    <row r="902" spans="1:48" ht="15.75" customHeight="1" x14ac:dyDescent="0.95">
      <c r="A902" s="262"/>
      <c r="B902" s="262"/>
      <c r="Q902" s="261"/>
      <c r="R902" s="261"/>
      <c r="AV902" s="260"/>
    </row>
    <row r="903" spans="1:48" ht="15.75" customHeight="1" x14ac:dyDescent="0.95">
      <c r="A903" s="262"/>
      <c r="B903" s="262"/>
      <c r="Q903" s="261"/>
      <c r="R903" s="261"/>
      <c r="AV903" s="260"/>
    </row>
    <row r="904" spans="1:48" ht="15.75" customHeight="1" x14ac:dyDescent="0.95">
      <c r="A904" s="262"/>
      <c r="B904" s="262"/>
      <c r="Q904" s="261"/>
      <c r="R904" s="261"/>
      <c r="AV904" s="260"/>
    </row>
    <row r="905" spans="1:48" ht="15.75" customHeight="1" x14ac:dyDescent="0.95">
      <c r="A905" s="262"/>
      <c r="B905" s="262"/>
      <c r="Q905" s="261"/>
      <c r="R905" s="261"/>
      <c r="AV905" s="260"/>
    </row>
    <row r="906" spans="1:48" ht="15.75" customHeight="1" x14ac:dyDescent="0.95">
      <c r="A906" s="262"/>
      <c r="B906" s="262"/>
      <c r="Q906" s="261"/>
      <c r="R906" s="261"/>
      <c r="AV906" s="260"/>
    </row>
    <row r="907" spans="1:48" ht="15.75" customHeight="1" x14ac:dyDescent="0.95">
      <c r="A907" s="262"/>
      <c r="B907" s="262"/>
      <c r="Q907" s="261"/>
      <c r="R907" s="261"/>
      <c r="AV907" s="260"/>
    </row>
    <row r="908" spans="1:48" ht="15.75" customHeight="1" x14ac:dyDescent="0.95">
      <c r="A908" s="262"/>
      <c r="B908" s="262"/>
      <c r="Q908" s="261"/>
      <c r="R908" s="261"/>
      <c r="AV908" s="260"/>
    </row>
    <row r="909" spans="1:48" ht="15.75" customHeight="1" x14ac:dyDescent="0.95">
      <c r="A909" s="262"/>
      <c r="B909" s="262"/>
      <c r="Q909" s="261"/>
      <c r="R909" s="261"/>
      <c r="AV909" s="260"/>
    </row>
    <row r="910" spans="1:48" ht="15.75" customHeight="1" x14ac:dyDescent="0.95">
      <c r="A910" s="262"/>
      <c r="B910" s="262"/>
      <c r="Q910" s="261"/>
      <c r="R910" s="261"/>
      <c r="AV910" s="260"/>
    </row>
    <row r="911" spans="1:48" ht="15.75" customHeight="1" x14ac:dyDescent="0.95">
      <c r="A911" s="262"/>
      <c r="B911" s="262"/>
      <c r="Q911" s="261"/>
      <c r="R911" s="261"/>
      <c r="AV911" s="260"/>
    </row>
    <row r="912" spans="1:48" ht="15.75" customHeight="1" x14ac:dyDescent="0.95">
      <c r="A912" s="262"/>
      <c r="B912" s="262"/>
      <c r="Q912" s="261"/>
      <c r="R912" s="261"/>
      <c r="AV912" s="260"/>
    </row>
    <row r="913" spans="1:48" ht="15.75" customHeight="1" x14ac:dyDescent="0.95">
      <c r="A913" s="262"/>
      <c r="B913" s="262"/>
      <c r="Q913" s="261"/>
      <c r="R913" s="261"/>
      <c r="AV913" s="260"/>
    </row>
    <row r="914" spans="1:48" ht="15.75" customHeight="1" x14ac:dyDescent="0.95">
      <c r="A914" s="262"/>
      <c r="B914" s="262"/>
      <c r="Q914" s="261"/>
      <c r="R914" s="261"/>
      <c r="AV914" s="260"/>
    </row>
    <row r="915" spans="1:48" ht="15.75" customHeight="1" x14ac:dyDescent="0.95">
      <c r="A915" s="262"/>
      <c r="B915" s="262"/>
      <c r="Q915" s="261"/>
      <c r="R915" s="261"/>
      <c r="AV915" s="260"/>
    </row>
    <row r="916" spans="1:48" ht="15.75" customHeight="1" x14ac:dyDescent="0.95">
      <c r="A916" s="262"/>
      <c r="B916" s="262"/>
      <c r="Q916" s="261"/>
      <c r="R916" s="261"/>
      <c r="AV916" s="260"/>
    </row>
    <row r="917" spans="1:48" ht="15.75" customHeight="1" x14ac:dyDescent="0.95">
      <c r="A917" s="262"/>
      <c r="B917" s="262"/>
      <c r="Q917" s="261"/>
      <c r="R917" s="261"/>
      <c r="AV917" s="260"/>
    </row>
    <row r="918" spans="1:48" ht="15.75" customHeight="1" x14ac:dyDescent="0.95">
      <c r="A918" s="262"/>
      <c r="B918" s="262"/>
      <c r="Q918" s="261"/>
      <c r="R918" s="261"/>
      <c r="AV918" s="260"/>
    </row>
    <row r="919" spans="1:48" ht="15.75" customHeight="1" x14ac:dyDescent="0.95">
      <c r="A919" s="262"/>
      <c r="B919" s="262"/>
      <c r="Q919" s="261"/>
      <c r="R919" s="261"/>
      <c r="AV919" s="260"/>
    </row>
    <row r="920" spans="1:48" ht="15.75" customHeight="1" x14ac:dyDescent="0.95">
      <c r="A920" s="262"/>
      <c r="B920" s="262"/>
      <c r="Q920" s="261"/>
      <c r="R920" s="261"/>
      <c r="AV920" s="260"/>
    </row>
    <row r="921" spans="1:48" ht="15.75" customHeight="1" x14ac:dyDescent="0.95">
      <c r="A921" s="262"/>
      <c r="B921" s="262"/>
      <c r="Q921" s="261"/>
      <c r="R921" s="261"/>
      <c r="AV921" s="260"/>
    </row>
    <row r="922" spans="1:48" ht="15.75" customHeight="1" x14ac:dyDescent="0.95">
      <c r="A922" s="262"/>
      <c r="B922" s="262"/>
      <c r="Q922" s="261"/>
      <c r="R922" s="261"/>
      <c r="AV922" s="260"/>
    </row>
    <row r="923" spans="1:48" ht="15.75" customHeight="1" x14ac:dyDescent="0.95">
      <c r="A923" s="262"/>
      <c r="B923" s="262"/>
      <c r="Q923" s="261"/>
      <c r="R923" s="261"/>
      <c r="AV923" s="260"/>
    </row>
    <row r="924" spans="1:48" ht="15.75" customHeight="1" x14ac:dyDescent="0.95">
      <c r="A924" s="262"/>
      <c r="B924" s="262"/>
      <c r="Q924" s="261"/>
      <c r="R924" s="261"/>
      <c r="AV924" s="260"/>
    </row>
    <row r="925" spans="1:48" ht="15.75" customHeight="1" x14ac:dyDescent="0.95">
      <c r="A925" s="262"/>
      <c r="B925" s="262"/>
      <c r="Q925" s="261"/>
      <c r="R925" s="261"/>
      <c r="AV925" s="260"/>
    </row>
    <row r="926" spans="1:48" ht="15.75" customHeight="1" x14ac:dyDescent="0.95">
      <c r="A926" s="262"/>
      <c r="B926" s="262"/>
      <c r="Q926" s="261"/>
      <c r="R926" s="261"/>
      <c r="AV926" s="260"/>
    </row>
    <row r="927" spans="1:48" ht="15.75" customHeight="1" x14ac:dyDescent="0.95">
      <c r="A927" s="262"/>
      <c r="B927" s="262"/>
      <c r="Q927" s="261"/>
      <c r="R927" s="261"/>
      <c r="AV927" s="260"/>
    </row>
    <row r="928" spans="1:48" ht="15.75" customHeight="1" x14ac:dyDescent="0.95">
      <c r="A928" s="262"/>
      <c r="B928" s="262"/>
      <c r="Q928" s="261"/>
      <c r="R928" s="261"/>
      <c r="AV928" s="260"/>
    </row>
    <row r="929" spans="1:48" ht="15.75" customHeight="1" x14ac:dyDescent="0.95">
      <c r="A929" s="262"/>
      <c r="B929" s="262"/>
      <c r="Q929" s="261"/>
      <c r="R929" s="261"/>
      <c r="AV929" s="260"/>
    </row>
    <row r="930" spans="1:48" ht="15.75" customHeight="1" x14ac:dyDescent="0.95">
      <c r="A930" s="262"/>
      <c r="B930" s="262"/>
      <c r="Q930" s="261"/>
      <c r="R930" s="261"/>
      <c r="AV930" s="260"/>
    </row>
    <row r="931" spans="1:48" ht="15.75" customHeight="1" x14ac:dyDescent="0.95">
      <c r="A931" s="262"/>
      <c r="B931" s="262"/>
      <c r="Q931" s="261"/>
      <c r="R931" s="261"/>
      <c r="AV931" s="260"/>
    </row>
    <row r="932" spans="1:48" ht="15.75" customHeight="1" x14ac:dyDescent="0.95">
      <c r="A932" s="262"/>
      <c r="B932" s="262"/>
      <c r="Q932" s="261"/>
      <c r="R932" s="261"/>
      <c r="AV932" s="260"/>
    </row>
    <row r="933" spans="1:48" ht="15.75" customHeight="1" x14ac:dyDescent="0.95">
      <c r="A933" s="262"/>
      <c r="B933" s="262"/>
      <c r="Q933" s="261"/>
      <c r="R933" s="261"/>
      <c r="AV933" s="260"/>
    </row>
    <row r="934" spans="1:48" ht="15.75" customHeight="1" x14ac:dyDescent="0.95">
      <c r="A934" s="262"/>
      <c r="B934" s="262"/>
      <c r="Q934" s="261"/>
      <c r="R934" s="261"/>
      <c r="AV934" s="260"/>
    </row>
    <row r="935" spans="1:48" ht="15.75" customHeight="1" x14ac:dyDescent="0.95">
      <c r="A935" s="262"/>
      <c r="B935" s="262"/>
      <c r="Q935" s="261"/>
      <c r="R935" s="261"/>
      <c r="AV935" s="260"/>
    </row>
    <row r="936" spans="1:48" ht="15.75" customHeight="1" x14ac:dyDescent="0.95">
      <c r="A936" s="262"/>
      <c r="B936" s="262"/>
      <c r="Q936" s="261"/>
      <c r="R936" s="261"/>
      <c r="AV936" s="260"/>
    </row>
    <row r="937" spans="1:48" ht="15.75" customHeight="1" x14ac:dyDescent="0.95">
      <c r="A937" s="262"/>
      <c r="B937" s="262"/>
      <c r="Q937" s="261"/>
      <c r="R937" s="261"/>
      <c r="AV937" s="260"/>
    </row>
    <row r="938" spans="1:48" ht="15.75" customHeight="1" x14ac:dyDescent="0.95">
      <c r="A938" s="262"/>
      <c r="B938" s="262"/>
      <c r="Q938" s="261"/>
      <c r="R938" s="261"/>
      <c r="AV938" s="260"/>
    </row>
    <row r="939" spans="1:48" ht="15.75" customHeight="1" x14ac:dyDescent="0.95">
      <c r="A939" s="262"/>
      <c r="B939" s="262"/>
      <c r="Q939" s="261"/>
      <c r="R939" s="261"/>
      <c r="AV939" s="260"/>
    </row>
    <row r="940" spans="1:48" ht="15.75" customHeight="1" x14ac:dyDescent="0.95">
      <c r="A940" s="262"/>
      <c r="B940" s="262"/>
      <c r="Q940" s="261"/>
      <c r="R940" s="261"/>
      <c r="AV940" s="260"/>
    </row>
    <row r="941" spans="1:48" ht="15.75" customHeight="1" x14ac:dyDescent="0.95">
      <c r="A941" s="262"/>
      <c r="B941" s="262"/>
      <c r="Q941" s="261"/>
      <c r="R941" s="261"/>
      <c r="AV941" s="260"/>
    </row>
    <row r="942" spans="1:48" ht="15.75" customHeight="1" x14ac:dyDescent="0.95">
      <c r="A942" s="262"/>
      <c r="B942" s="262"/>
      <c r="Q942" s="261"/>
      <c r="R942" s="261"/>
      <c r="AV942" s="260"/>
    </row>
    <row r="943" spans="1:48" ht="15.75" customHeight="1" x14ac:dyDescent="0.95">
      <c r="A943" s="262"/>
      <c r="B943" s="262"/>
      <c r="Q943" s="261"/>
      <c r="R943" s="261"/>
      <c r="AV943" s="260"/>
    </row>
    <row r="944" spans="1:48" ht="15.75" customHeight="1" x14ac:dyDescent="0.95">
      <c r="A944" s="262"/>
      <c r="B944" s="262"/>
      <c r="Q944" s="261"/>
      <c r="R944" s="261"/>
      <c r="AV944" s="260"/>
    </row>
    <row r="945" spans="1:48" ht="15.75" customHeight="1" x14ac:dyDescent="0.95">
      <c r="A945" s="262"/>
      <c r="B945" s="262"/>
      <c r="Q945" s="261"/>
      <c r="R945" s="261"/>
      <c r="AV945" s="260"/>
    </row>
    <row r="946" spans="1:48" ht="15.75" customHeight="1" x14ac:dyDescent="0.95">
      <c r="A946" s="262"/>
      <c r="B946" s="262"/>
      <c r="Q946" s="261"/>
      <c r="R946" s="261"/>
      <c r="AV946" s="260"/>
    </row>
    <row r="947" spans="1:48" ht="15.75" customHeight="1" x14ac:dyDescent="0.95">
      <c r="A947" s="262"/>
      <c r="B947" s="262"/>
      <c r="Q947" s="261"/>
      <c r="R947" s="261"/>
      <c r="AV947" s="260"/>
    </row>
    <row r="948" spans="1:48" ht="15.75" customHeight="1" x14ac:dyDescent="0.95">
      <c r="A948" s="262"/>
      <c r="B948" s="262"/>
      <c r="Q948" s="261"/>
      <c r="R948" s="261"/>
      <c r="AV948" s="260"/>
    </row>
    <row r="949" spans="1:48" ht="15.75" customHeight="1" x14ac:dyDescent="0.95">
      <c r="A949" s="262"/>
      <c r="B949" s="262"/>
      <c r="Q949" s="261"/>
      <c r="R949" s="261"/>
      <c r="AV949" s="260"/>
    </row>
    <row r="950" spans="1:48" ht="15.75" customHeight="1" x14ac:dyDescent="0.95">
      <c r="A950" s="262"/>
      <c r="B950" s="262"/>
      <c r="Q950" s="261"/>
      <c r="R950" s="261"/>
      <c r="AV950" s="260"/>
    </row>
    <row r="951" spans="1:48" ht="15.75" customHeight="1" x14ac:dyDescent="0.95">
      <c r="A951" s="262"/>
      <c r="B951" s="262"/>
      <c r="Q951" s="261"/>
      <c r="R951" s="261"/>
      <c r="AV951" s="260"/>
    </row>
    <row r="952" spans="1:48" ht="15.75" customHeight="1" x14ac:dyDescent="0.95">
      <c r="A952" s="262"/>
      <c r="B952" s="262"/>
      <c r="Q952" s="261"/>
      <c r="R952" s="261"/>
      <c r="AV952" s="260"/>
    </row>
    <row r="953" spans="1:48" ht="15.75" customHeight="1" x14ac:dyDescent="0.95">
      <c r="A953" s="262"/>
      <c r="B953" s="262"/>
      <c r="Q953" s="261"/>
      <c r="R953" s="261"/>
      <c r="AV953" s="260"/>
    </row>
    <row r="954" spans="1:48" ht="15.75" customHeight="1" x14ac:dyDescent="0.95">
      <c r="A954" s="262"/>
      <c r="B954" s="262"/>
      <c r="Q954" s="261"/>
      <c r="R954" s="261"/>
      <c r="AV954" s="260"/>
    </row>
    <row r="955" spans="1:48" ht="15.75" customHeight="1" x14ac:dyDescent="0.95">
      <c r="A955" s="262"/>
      <c r="B955" s="262"/>
      <c r="Q955" s="261"/>
      <c r="R955" s="261"/>
      <c r="AV955" s="260"/>
    </row>
    <row r="956" spans="1:48" ht="15.75" customHeight="1" x14ac:dyDescent="0.95">
      <c r="A956" s="262"/>
      <c r="B956" s="262"/>
      <c r="Q956" s="261"/>
      <c r="R956" s="261"/>
      <c r="AV956" s="260"/>
    </row>
    <row r="957" spans="1:48" ht="15.75" customHeight="1" x14ac:dyDescent="0.95">
      <c r="A957" s="262"/>
      <c r="B957" s="262"/>
      <c r="Q957" s="261"/>
      <c r="R957" s="261"/>
      <c r="AV957" s="260"/>
    </row>
    <row r="958" spans="1:48" ht="15.75" customHeight="1" x14ac:dyDescent="0.95">
      <c r="A958" s="262"/>
      <c r="B958" s="262"/>
      <c r="Q958" s="261"/>
      <c r="R958" s="261"/>
      <c r="AV958" s="260"/>
    </row>
    <row r="959" spans="1:48" ht="15.75" customHeight="1" x14ac:dyDescent="0.95">
      <c r="A959" s="262"/>
      <c r="B959" s="262"/>
      <c r="Q959" s="261"/>
      <c r="R959" s="261"/>
      <c r="AV959" s="260"/>
    </row>
    <row r="960" spans="1:48" ht="15.75" customHeight="1" x14ac:dyDescent="0.95">
      <c r="A960" s="262"/>
      <c r="B960" s="262"/>
      <c r="Q960" s="261"/>
      <c r="R960" s="261"/>
      <c r="AV960" s="260"/>
    </row>
    <row r="961" spans="1:48" ht="15.75" customHeight="1" x14ac:dyDescent="0.95">
      <c r="A961" s="262"/>
      <c r="B961" s="262"/>
      <c r="Q961" s="261"/>
      <c r="R961" s="261"/>
      <c r="AV961" s="260"/>
    </row>
    <row r="962" spans="1:48" ht="15.75" customHeight="1" x14ac:dyDescent="0.95">
      <c r="A962" s="262"/>
      <c r="B962" s="262"/>
      <c r="Q962" s="261"/>
      <c r="R962" s="261"/>
      <c r="AV962" s="260"/>
    </row>
    <row r="963" spans="1:48" ht="15.75" customHeight="1" x14ac:dyDescent="0.95">
      <c r="A963" s="262"/>
      <c r="B963" s="262"/>
      <c r="Q963" s="261"/>
      <c r="R963" s="261"/>
      <c r="AV963" s="260"/>
    </row>
    <row r="964" spans="1:48" ht="15.75" customHeight="1" x14ac:dyDescent="0.95">
      <c r="A964" s="262"/>
      <c r="B964" s="262"/>
      <c r="Q964" s="261"/>
      <c r="R964" s="261"/>
      <c r="AV964" s="260"/>
    </row>
    <row r="965" spans="1:48" ht="15.75" customHeight="1" x14ac:dyDescent="0.95">
      <c r="A965" s="262"/>
      <c r="B965" s="262"/>
      <c r="Q965" s="261"/>
      <c r="R965" s="261"/>
      <c r="AV965" s="260"/>
    </row>
    <row r="966" spans="1:48" ht="15.75" customHeight="1" x14ac:dyDescent="0.95">
      <c r="A966" s="262"/>
      <c r="B966" s="262"/>
      <c r="Q966" s="261"/>
      <c r="R966" s="261"/>
      <c r="AV966" s="260"/>
    </row>
    <row r="967" spans="1:48" ht="15.75" customHeight="1" x14ac:dyDescent="0.95">
      <c r="A967" s="262"/>
      <c r="B967" s="262"/>
      <c r="Q967" s="261"/>
      <c r="R967" s="261"/>
      <c r="AV967" s="260"/>
    </row>
    <row r="968" spans="1:48" ht="15.75" customHeight="1" x14ac:dyDescent="0.95">
      <c r="A968" s="262"/>
      <c r="B968" s="262"/>
      <c r="Q968" s="261"/>
      <c r="R968" s="261"/>
      <c r="AV968" s="260"/>
    </row>
    <row r="969" spans="1:48" ht="15.75" customHeight="1" x14ac:dyDescent="0.95">
      <c r="A969" s="262"/>
      <c r="B969" s="262"/>
      <c r="Q969" s="261"/>
      <c r="R969" s="261"/>
      <c r="AV969" s="260"/>
    </row>
    <row r="970" spans="1:48" ht="15.75" customHeight="1" x14ac:dyDescent="0.95">
      <c r="A970" s="262"/>
      <c r="B970" s="262"/>
      <c r="Q970" s="261"/>
      <c r="R970" s="261"/>
      <c r="AV970" s="260"/>
    </row>
    <row r="971" spans="1:48" ht="15.75" customHeight="1" x14ac:dyDescent="0.95">
      <c r="A971" s="262"/>
      <c r="B971" s="262"/>
      <c r="Q971" s="261"/>
      <c r="R971" s="261"/>
      <c r="AV971" s="260"/>
    </row>
    <row r="972" spans="1:48" ht="15.75" customHeight="1" x14ac:dyDescent="0.95">
      <c r="A972" s="262"/>
      <c r="B972" s="262"/>
      <c r="Q972" s="261"/>
      <c r="R972" s="261"/>
      <c r="AV972" s="260"/>
    </row>
    <row r="973" spans="1:48" ht="15.75" customHeight="1" x14ac:dyDescent="0.95">
      <c r="A973" s="262"/>
      <c r="B973" s="262"/>
      <c r="Q973" s="261"/>
      <c r="R973" s="261"/>
      <c r="AV973" s="260"/>
    </row>
    <row r="974" spans="1:48" ht="15.75" customHeight="1" x14ac:dyDescent="0.95">
      <c r="A974" s="262"/>
      <c r="B974" s="262"/>
      <c r="Q974" s="261"/>
      <c r="R974" s="261"/>
      <c r="AV974" s="260"/>
    </row>
    <row r="975" spans="1:48" ht="15.75" customHeight="1" x14ac:dyDescent="0.95">
      <c r="A975" s="262"/>
      <c r="B975" s="262"/>
      <c r="Q975" s="261"/>
      <c r="R975" s="261"/>
      <c r="AV975" s="260"/>
    </row>
    <row r="976" spans="1:48" ht="15.75" customHeight="1" x14ac:dyDescent="0.95">
      <c r="A976" s="262"/>
      <c r="B976" s="262"/>
      <c r="Q976" s="261"/>
      <c r="R976" s="261"/>
      <c r="AV976" s="260"/>
    </row>
    <row r="977" spans="1:48" ht="15.75" customHeight="1" x14ac:dyDescent="0.95">
      <c r="A977" s="262"/>
      <c r="B977" s="262"/>
      <c r="Q977" s="261"/>
      <c r="R977" s="261"/>
      <c r="AV977" s="260"/>
    </row>
    <row r="978" spans="1:48" ht="15.75" customHeight="1" x14ac:dyDescent="0.95">
      <c r="A978" s="262"/>
      <c r="B978" s="262"/>
      <c r="Q978" s="261"/>
      <c r="R978" s="261"/>
      <c r="AV978" s="260"/>
    </row>
    <row r="979" spans="1:48" ht="15.75" customHeight="1" x14ac:dyDescent="0.95">
      <c r="A979" s="262"/>
      <c r="B979" s="262"/>
      <c r="Q979" s="261"/>
      <c r="R979" s="261"/>
      <c r="AV979" s="260"/>
    </row>
    <row r="980" spans="1:48" ht="15.75" customHeight="1" x14ac:dyDescent="0.95">
      <c r="A980" s="262"/>
      <c r="B980" s="262"/>
      <c r="Q980" s="261"/>
      <c r="R980" s="261"/>
      <c r="AV980" s="260"/>
    </row>
    <row r="981" spans="1:48" ht="15.75" customHeight="1" x14ac:dyDescent="0.95">
      <c r="A981" s="262"/>
      <c r="B981" s="262"/>
      <c r="Q981" s="261"/>
      <c r="R981" s="261"/>
      <c r="AV981" s="260"/>
    </row>
    <row r="982" spans="1:48" ht="15.75" customHeight="1" x14ac:dyDescent="0.95">
      <c r="A982" s="262"/>
      <c r="B982" s="262"/>
      <c r="Q982" s="261"/>
      <c r="R982" s="261"/>
      <c r="AV982" s="260"/>
    </row>
    <row r="983" spans="1:48" ht="15.75" customHeight="1" x14ac:dyDescent="0.95">
      <c r="A983" s="262"/>
      <c r="B983" s="262"/>
      <c r="Q983" s="261"/>
      <c r="R983" s="261"/>
      <c r="AV983" s="260"/>
    </row>
    <row r="984" spans="1:48" ht="15.75" customHeight="1" x14ac:dyDescent="0.95">
      <c r="A984" s="262"/>
      <c r="B984" s="262"/>
      <c r="Q984" s="261"/>
      <c r="R984" s="261"/>
      <c r="AV984" s="260"/>
    </row>
    <row r="985" spans="1:48" ht="15.75" customHeight="1" x14ac:dyDescent="0.95">
      <c r="A985" s="262"/>
      <c r="B985" s="262"/>
      <c r="Q985" s="261"/>
      <c r="R985" s="261"/>
      <c r="AV985" s="260"/>
    </row>
    <row r="986" spans="1:48" ht="15.75" customHeight="1" x14ac:dyDescent="0.95">
      <c r="A986" s="262"/>
      <c r="B986" s="262"/>
      <c r="Q986" s="261"/>
      <c r="R986" s="261"/>
      <c r="AV986" s="260"/>
    </row>
    <row r="987" spans="1:48" ht="15.75" customHeight="1" x14ac:dyDescent="0.95">
      <c r="A987" s="262"/>
      <c r="B987" s="262"/>
      <c r="Q987" s="261"/>
      <c r="R987" s="261"/>
      <c r="AV987" s="260"/>
    </row>
    <row r="988" spans="1:48" ht="15.75" customHeight="1" x14ac:dyDescent="0.95">
      <c r="A988" s="262"/>
      <c r="B988" s="262"/>
      <c r="Q988" s="261"/>
      <c r="R988" s="261"/>
      <c r="AV988" s="260"/>
    </row>
    <row r="989" spans="1:48" ht="15.75" customHeight="1" x14ac:dyDescent="0.95">
      <c r="A989" s="262"/>
      <c r="B989" s="262"/>
      <c r="Q989" s="261"/>
      <c r="R989" s="261"/>
      <c r="AV989" s="260"/>
    </row>
    <row r="990" spans="1:48" ht="15.75" customHeight="1" x14ac:dyDescent="0.95">
      <c r="A990" s="262"/>
      <c r="B990" s="262"/>
      <c r="Q990" s="261"/>
      <c r="R990" s="261"/>
      <c r="AV990" s="260"/>
    </row>
    <row r="991" spans="1:48" ht="15.75" customHeight="1" x14ac:dyDescent="0.95">
      <c r="A991" s="262"/>
      <c r="B991" s="262"/>
      <c r="Q991" s="261"/>
      <c r="R991" s="261"/>
      <c r="AV991" s="260"/>
    </row>
    <row r="992" spans="1:48" ht="15.75" customHeight="1" x14ac:dyDescent="0.95">
      <c r="A992" s="262"/>
      <c r="B992" s="262"/>
      <c r="Q992" s="261"/>
      <c r="R992" s="261"/>
      <c r="AV992" s="260"/>
    </row>
    <row r="993" spans="1:48" ht="15.75" customHeight="1" x14ac:dyDescent="0.95">
      <c r="A993" s="262"/>
      <c r="B993" s="262"/>
      <c r="Q993" s="261"/>
      <c r="R993" s="261"/>
      <c r="AV993" s="260"/>
    </row>
    <row r="994" spans="1:48" ht="15.75" customHeight="1" x14ac:dyDescent="0.95">
      <c r="A994" s="262"/>
      <c r="B994" s="262"/>
      <c r="Q994" s="261"/>
      <c r="R994" s="261"/>
      <c r="AV994" s="260"/>
    </row>
    <row r="995" spans="1:48" ht="15.75" customHeight="1" x14ac:dyDescent="0.95">
      <c r="A995" s="262"/>
      <c r="B995" s="262"/>
      <c r="Q995" s="261"/>
      <c r="R995" s="261"/>
      <c r="AV995" s="260"/>
    </row>
    <row r="996" spans="1:48" ht="15.75" customHeight="1" x14ac:dyDescent="0.95">
      <c r="A996" s="262"/>
      <c r="B996" s="262"/>
      <c r="Q996" s="261"/>
      <c r="R996" s="261"/>
      <c r="AV996" s="260"/>
    </row>
    <row r="997" spans="1:48" ht="15.75" customHeight="1" x14ac:dyDescent="0.95">
      <c r="A997" s="262"/>
      <c r="B997" s="262"/>
      <c r="Q997" s="261"/>
      <c r="R997" s="261"/>
      <c r="AV997" s="260"/>
    </row>
    <row r="998" spans="1:48" ht="15.75" customHeight="1" x14ac:dyDescent="0.95">
      <c r="A998" s="262"/>
      <c r="B998" s="262"/>
      <c r="Q998" s="261"/>
      <c r="R998" s="261"/>
      <c r="AV998" s="260"/>
    </row>
    <row r="999" spans="1:48" ht="15.75" customHeight="1" x14ac:dyDescent="0.95">
      <c r="A999" s="262"/>
      <c r="B999" s="262"/>
      <c r="Q999" s="261"/>
      <c r="R999" s="261"/>
      <c r="AV999" s="260"/>
    </row>
    <row r="1000" spans="1:48" ht="15.75" customHeight="1" x14ac:dyDescent="0.95">
      <c r="A1000" s="262"/>
      <c r="B1000" s="262"/>
      <c r="Q1000" s="261"/>
      <c r="R1000" s="261"/>
      <c r="AV1000" s="260"/>
    </row>
    <row r="1001" spans="1:48" ht="15.75" customHeight="1" x14ac:dyDescent="0.95">
      <c r="A1001" s="262"/>
      <c r="B1001" s="262"/>
      <c r="Q1001" s="261"/>
      <c r="R1001" s="261"/>
      <c r="AV1001" s="260"/>
    </row>
    <row r="1002" spans="1:48" ht="15.75" customHeight="1" x14ac:dyDescent="0.95">
      <c r="A1002" s="262"/>
      <c r="B1002" s="262"/>
      <c r="Q1002" s="261"/>
      <c r="R1002" s="261"/>
      <c r="AV1002" s="260"/>
    </row>
  </sheetData>
  <autoFilter ref="B5:AU155"/>
  <mergeCells count="20">
    <mergeCell ref="A75:AV75"/>
    <mergeCell ref="A86:AV86"/>
    <mergeCell ref="A112:AV112"/>
    <mergeCell ref="A41:AV41"/>
    <mergeCell ref="K30:O30"/>
    <mergeCell ref="K29:O29"/>
    <mergeCell ref="K32:O32"/>
    <mergeCell ref="K21:O21"/>
    <mergeCell ref="K39:O39"/>
    <mergeCell ref="A57:AV57"/>
    <mergeCell ref="A1:AV1"/>
    <mergeCell ref="AM37:AM38"/>
    <mergeCell ref="A7:AV7"/>
    <mergeCell ref="A14:AV14"/>
    <mergeCell ref="A34:AV34"/>
    <mergeCell ref="A3:A5"/>
    <mergeCell ref="F3:G4"/>
    <mergeCell ref="A37:A38"/>
    <mergeCell ref="B37:B38"/>
    <mergeCell ref="E37:E38"/>
  </mergeCells>
  <hyperlinks>
    <hyperlink ref="AW10" r:id="rId1"/>
    <hyperlink ref="AW16" r:id="rId2"/>
    <hyperlink ref="AW17" r:id="rId3"/>
    <hyperlink ref="AW18" r:id="rId4"/>
    <hyperlink ref="AW19" r:id="rId5"/>
    <hyperlink ref="AW20" r:id="rId6"/>
    <hyperlink ref="AW21" r:id="rId7"/>
    <hyperlink ref="AW22" r:id="rId8"/>
    <hyperlink ref="AW23" r:id="rId9"/>
    <hyperlink ref="AW24" r:id="rId10"/>
    <hyperlink ref="AW25" r:id="rId11"/>
    <hyperlink ref="AW26" r:id="rId12"/>
    <hyperlink ref="AW27" r:id="rId13"/>
    <hyperlink ref="AW28" r:id="rId14"/>
    <hyperlink ref="AW29" r:id="rId15"/>
    <hyperlink ref="AW30" r:id="rId16"/>
    <hyperlink ref="AW31" r:id="rId17"/>
    <hyperlink ref="AW32" r:id="rId18"/>
    <hyperlink ref="AW37" r:id="rId19"/>
    <hyperlink ref="AW39" r:id="rId20"/>
    <hyperlink ref="AW43" r:id="rId21"/>
    <hyperlink ref="AW44" r:id="rId22"/>
    <hyperlink ref="AW45" r:id="rId23"/>
    <hyperlink ref="AW47" r:id="rId24"/>
    <hyperlink ref="AW48" r:id="rId25"/>
    <hyperlink ref="AW49" r:id="rId26"/>
    <hyperlink ref="AW50" r:id="rId27"/>
    <hyperlink ref="AW51" r:id="rId28"/>
    <hyperlink ref="AW52" r:id="rId29"/>
    <hyperlink ref="AW54" r:id="rId30"/>
    <hyperlink ref="AW55" r:id="rId31"/>
    <hyperlink ref="AW56" r:id="rId32"/>
    <hyperlink ref="AW59" r:id="rId33"/>
    <hyperlink ref="AW60" r:id="rId34"/>
    <hyperlink ref="AW61" r:id="rId35"/>
    <hyperlink ref="AW63" r:id="rId36"/>
    <hyperlink ref="AW64" r:id="rId37"/>
    <hyperlink ref="AW65" r:id="rId38"/>
    <hyperlink ref="AW66" r:id="rId39"/>
    <hyperlink ref="AW67" r:id="rId40"/>
    <hyperlink ref="AW68" r:id="rId41"/>
    <hyperlink ref="AW69" r:id="rId42"/>
    <hyperlink ref="AW70" r:id="rId43"/>
    <hyperlink ref="AW72" r:id="rId44"/>
    <hyperlink ref="AW73" r:id="rId45"/>
    <hyperlink ref="AW74" r:id="rId46"/>
    <hyperlink ref="AW77" r:id="rId47"/>
    <hyperlink ref="AW78" r:id="rId48"/>
    <hyperlink ref="AW79" r:id="rId49"/>
    <hyperlink ref="AW80" r:id="rId50"/>
    <hyperlink ref="AW88" r:id="rId51"/>
    <hyperlink ref="AW89" r:id="rId52"/>
    <hyperlink ref="AW90" r:id="rId53"/>
    <hyperlink ref="AW91" r:id="rId54"/>
    <hyperlink ref="AW92" r:id="rId55"/>
    <hyperlink ref="AW93" r:id="rId56"/>
    <hyperlink ref="AW94" r:id="rId57"/>
    <hyperlink ref="AW96" r:id="rId58"/>
    <hyperlink ref="AW97" r:id="rId59"/>
    <hyperlink ref="AW99" r:id="rId60"/>
    <hyperlink ref="AW100" r:id="rId61"/>
    <hyperlink ref="AW101" r:id="rId62"/>
    <hyperlink ref="AW102" r:id="rId63"/>
    <hyperlink ref="AW104" r:id="rId64"/>
    <hyperlink ref="AW105" r:id="rId65"/>
    <hyperlink ref="AW106" r:id="rId66"/>
    <hyperlink ref="AW107" r:id="rId67"/>
    <hyperlink ref="AW110" r:id="rId68"/>
  </hyperlinks>
  <pageMargins left="0.70866141732283472" right="0.70866141732283472" top="0.74803149606299213" bottom="0.74803149606299213" header="0" footer="0"/>
  <pageSetup paperSize="8" scale="10" fitToHeight="0" orientation="landscape" r:id="rId69"/>
  <rowBreaks count="2" manualBreakCount="2">
    <brk id="31" max="47" man="1"/>
    <brk id="56" max="4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СВОД СМР</vt:lpstr>
      <vt:lpstr>контракты СМР</vt:lpstr>
      <vt:lpstr>СМР</vt:lpstr>
      <vt:lpstr>'контракты СМР'!Заголовки_для_печати</vt:lpstr>
      <vt:lpstr>СМР!Заголовки_для_печати</vt:lpstr>
      <vt:lpstr>'контракты СМР'!Область_печати</vt:lpstr>
      <vt:lpstr>СМР!Область_печати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Салтыкова Луиза Рустамовна</dc:creator>
  <cp:lastModifiedBy>Рем Кап</cp:lastModifiedBy>
  <cp:lastPrinted>2026-05-22T13:34:54Z</cp:lastPrinted>
  <dcterms:created xsi:type="dcterms:W3CDTF">2026-04-03T08:16:29Z</dcterms:created>
  <dcterms:modified xsi:type="dcterms:W3CDTF">2026-06-01T11:59:11Z</dcterms:modified>
</cp:coreProperties>
</file>